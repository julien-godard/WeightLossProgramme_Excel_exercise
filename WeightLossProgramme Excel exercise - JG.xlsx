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ulien\Desktop\"/>
    </mc:Choice>
  </mc:AlternateContent>
  <xr:revisionPtr revIDLastSave="0" documentId="13_ncr:1_{F2481096-B236-404B-8504-9C102A60C641}" xr6:coauthVersionLast="47" xr6:coauthVersionMax="47" xr10:uidLastSave="{00000000-0000-0000-0000-000000000000}"/>
  <bookViews>
    <workbookView xWindow="-120" yWindow="-120" windowWidth="29040" windowHeight="15840" tabRatio="688" activeTab="3" xr2:uid="{00000000-000D-0000-FFFF-FFFF00000000}"/>
  </bookViews>
  <sheets>
    <sheet name="Identity Index" sheetId="1" r:id="rId1"/>
    <sheet name="Programme Outcomes" sheetId="4" r:id="rId2"/>
    <sheet name="Raw Dataset" sheetId="9" r:id="rId3"/>
    <sheet name="Linked Data" sheetId="2" r:id="rId4"/>
    <sheet name="Results Pivot" sheetId="3" r:id="rId5"/>
    <sheet name="Age Distribution" sheetId="6" r:id="rId6"/>
  </sheets>
  <definedNames>
    <definedName name="_xlcn.WorksheetConnection_WeightLossGroupDataset.xlsxWeightLossGroup_Dataset1" hidden="1">WeightLossGroup_Dataset[]</definedName>
    <definedName name="ExternalData_1" localSheetId="3" hidden="1">'Linked Data'!$A$1:$M$17</definedName>
  </definedNames>
  <calcPr calcId="191029"/>
  <pivotCaches>
    <pivotCache cacheId="25" r:id="rId7"/>
    <pivotCache cacheId="46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WeightLossGroup_Dataset" name="WeightLossGroup_Dataset" connection="WorksheetConnection_WeightLossGroup Dataset.xlsx!WeightLossGroup_Dataset"/>
        </x15:modelTables>
        <x15:extLst>
          <ext xmlns:x16="http://schemas.microsoft.com/office/spreadsheetml/2014/11/main" uri="{9835A34E-60A6-4A7C-AAB8-D5F71C897F49}">
            <x16:modelTimeGroupings>
              <x16:modelTimeGrouping tableName="WeightLossGroup_Dataset" columnName="Referral Date" columnId="Referral Date">
                <x16:calculatedTimeColumn columnName="Referral Date (Year)" columnId="Referral Date (Year)" contentType="years" isSelected="1"/>
                <x16:calculatedTimeColumn columnName="Referral Date (Month Index)" columnId="Referral Date (Month Index)" contentType="monthsindex" isSelected="1"/>
                <x16:calculatedTimeColumn columnName="Referral Date (Month)" columnId="Referral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G2" i="2" a="1"/>
  <c r="G2" i="2" s="1"/>
  <c r="G3" i="2" a="1"/>
  <c r="G3" i="2"/>
  <c r="G4" i="2" a="1"/>
  <c r="G4" i="2" s="1"/>
  <c r="G5" i="2" a="1"/>
  <c r="G5" i="2"/>
  <c r="G6" i="2" a="1"/>
  <c r="G6" i="2" s="1"/>
  <c r="G7" i="2" a="1"/>
  <c r="G7" i="2"/>
  <c r="G8" i="2" a="1"/>
  <c r="G8" i="2" s="1"/>
  <c r="G9" i="2" a="1"/>
  <c r="G9" i="2" s="1"/>
  <c r="G10" i="2" a="1"/>
  <c r="G10" i="2" s="1"/>
  <c r="G11" i="2" a="1"/>
  <c r="G11" i="2"/>
  <c r="G12" i="2" a="1"/>
  <c r="G12" i="2" s="1"/>
  <c r="G13" i="2" a="1"/>
  <c r="G13" i="2"/>
  <c r="G14" i="2" a="1"/>
  <c r="G14" i="2" s="1"/>
  <c r="G15" i="2" a="1"/>
  <c r="G15" i="2" s="1"/>
  <c r="G16" i="2" a="1"/>
  <c r="G16" i="2" s="1"/>
  <c r="G17" i="2" a="1"/>
  <c r="G17" i="2" s="1"/>
  <c r="N2" i="2" a="1"/>
  <c r="N2" i="2" s="1"/>
  <c r="O2" i="2" s="1" a="1"/>
  <c r="O2" i="2" s="1"/>
  <c r="N3" i="2" a="1"/>
  <c r="N3" i="2"/>
  <c r="O3" i="2" s="1" a="1"/>
  <c r="O3" i="2" s="1"/>
  <c r="Q3" i="2" s="1" a="1"/>
  <c r="Q3" i="2" s="1"/>
  <c r="N4" i="2" a="1"/>
  <c r="N4" i="2" s="1"/>
  <c r="O4" i="2" s="1" a="1"/>
  <c r="O4" i="2" s="1"/>
  <c r="N5" i="2" a="1"/>
  <c r="N5" i="2"/>
  <c r="O5" i="2" s="1" a="1"/>
  <c r="O5" i="2" s="1"/>
  <c r="N6" i="2" a="1"/>
  <c r="N6" i="2" s="1"/>
  <c r="O6" i="2" s="1" a="1"/>
  <c r="O6" i="2" s="1"/>
  <c r="Q6" i="2" s="1" a="1"/>
  <c r="Q6" i="2" s="1"/>
  <c r="N7" i="2" a="1"/>
  <c r="N7" i="2"/>
  <c r="O7" i="2" s="1" a="1"/>
  <c r="O7" i="2" s="1"/>
  <c r="N8" i="2" a="1"/>
  <c r="N8" i="2" s="1"/>
  <c r="O8" i="2" s="1" a="1"/>
  <c r="O8" i="2" s="1"/>
  <c r="N9" i="2" a="1"/>
  <c r="N9" i="2" s="1"/>
  <c r="O9" i="2" s="1" a="1"/>
  <c r="O9" i="2" s="1"/>
  <c r="N10" i="2" a="1"/>
  <c r="N10" i="2" s="1"/>
  <c r="O10" i="2" s="1" a="1"/>
  <c r="O10" i="2" s="1"/>
  <c r="N11" i="2" a="1"/>
  <c r="N11" i="2"/>
  <c r="O11" i="2" s="1" a="1"/>
  <c r="O11" i="2" s="1"/>
  <c r="Q11" i="2" s="1" a="1"/>
  <c r="Q11" i="2" s="1"/>
  <c r="N12" i="2" a="1"/>
  <c r="N12" i="2" s="1"/>
  <c r="O12" i="2" s="1" a="1"/>
  <c r="O12" i="2" s="1"/>
  <c r="N13" i="2" a="1"/>
  <c r="N13" i="2"/>
  <c r="O13" i="2" s="1" a="1"/>
  <c r="O13" i="2" s="1"/>
  <c r="N14" i="2" a="1"/>
  <c r="N14" i="2" s="1"/>
  <c r="O14" i="2" s="1" a="1"/>
  <c r="O14" i="2" s="1"/>
  <c r="Q14" i="2" s="1" a="1"/>
  <c r="Q14" i="2" s="1"/>
  <c r="N15" i="2" a="1"/>
  <c r="N15" i="2"/>
  <c r="O15" i="2" s="1" a="1"/>
  <c r="O15" i="2" s="1"/>
  <c r="N16" i="2" a="1"/>
  <c r="N16" i="2" s="1"/>
  <c r="O16" i="2" s="1" a="1"/>
  <c r="O16" i="2" s="1"/>
  <c r="N17" i="2" a="1"/>
  <c r="N17" i="2" s="1"/>
  <c r="O17" i="2" s="1" a="1"/>
  <c r="O17" i="2" s="1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Q16" i="2" l="1" a="1"/>
  <c r="Q16" i="2" s="1"/>
  <c r="Q17" i="2" a="1"/>
  <c r="Q17" i="2" s="1"/>
  <c r="Q13" i="2" a="1"/>
  <c r="Q13" i="2" s="1"/>
  <c r="Q9" i="2" a="1"/>
  <c r="Q9" i="2" s="1"/>
  <c r="Q5" i="2" a="1"/>
  <c r="Q5" i="2" s="1"/>
  <c r="Q12" i="2" a="1"/>
  <c r="Q12" i="2" s="1"/>
  <c r="Q4" i="2" a="1"/>
  <c r="Q4" i="2" s="1"/>
  <c r="Q8" i="2" a="1"/>
  <c r="Q8" i="2" s="1"/>
  <c r="Q15" i="2" a="1"/>
  <c r="Q15" i="2" s="1"/>
  <c r="Q10" i="2" a="1"/>
  <c r="Q10" i="2" s="1"/>
  <c r="Q7" i="2" a="1"/>
  <c r="Q7" i="2" s="1"/>
  <c r="Q2" i="2" a="1"/>
  <c r="Q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ED594F-7E50-49BF-8FC2-9CE0855F679A}" keepAlive="1" name="Query - WeightLossGroup Dataset" description="Connection to the 'WeightLossGroup Dataset' query in the workbook." type="5" refreshedVersion="8" background="1" saveData="1">
    <dbPr connection="Provider=Microsoft.Mashup.OleDb.1;Data Source=$Workbook$;Location=&quot;WeightLossGroup Dataset&quot;;Extended Properties=&quot;&quot;" command="SELECT * FROM [WeightLossGroup Dataset]"/>
  </connection>
  <connection id="2" xr16:uid="{98A9324C-018D-4607-A56F-B5C12E3BEFC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C60391F7-9C97-4502-A354-4FCAC523C05B}" name="WorksheetConnection_WeightLossGroup Dataset.xlsx!WeightLossGroup_Dataset" type="102" refreshedVersion="8" minRefreshableVersion="5">
    <extLst>
      <ext xmlns:x15="http://schemas.microsoft.com/office/spreadsheetml/2010/11/main" uri="{DE250136-89BD-433C-8126-D09CA5730AF9}">
        <x15:connection id="WeightLossGroup_Dataset" autoDelete="1">
          <x15:rangePr sourceName="_xlcn.WorksheetConnection_WeightLossGroupDataset.xlsxWeightLossGroup_Dataset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4">
    <s v="ThisWorkbookDataModel"/>
    <s v="{[WeightLossGroup_Dataset].[Gender].[All]}"/>
    <s v="{[WeightLossGroup_Dataset].[Age Bracket].[All]}"/>
    <s v="{[WeightLossGroup_Dataset].[Identity].[All]}"/>
  </metadataStrings>
  <mdxMetadata count="3">
    <mdx n="0" f="s">
      <ms ns="1" c="0"/>
    </mdx>
    <mdx n="0" f="s">
      <ms ns="2" c="0"/>
    </mdx>
    <mdx n="0" f="s">
      <ms ns="3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<sst xmlns="http://schemas.openxmlformats.org/spreadsheetml/2006/main" count="237" uniqueCount="84">
  <si>
    <t>Mouse</t>
  </si>
  <si>
    <t>Bugs</t>
  </si>
  <si>
    <t>Bunny</t>
  </si>
  <si>
    <t>Homer</t>
  </si>
  <si>
    <t>Duck</t>
  </si>
  <si>
    <t>Simpson</t>
  </si>
  <si>
    <t>Marge</t>
  </si>
  <si>
    <t>Daffy</t>
  </si>
  <si>
    <t>Porky</t>
  </si>
  <si>
    <t>Pig</t>
  </si>
  <si>
    <t>Fred</t>
  </si>
  <si>
    <t>Flintstone</t>
  </si>
  <si>
    <t>Wilma</t>
  </si>
  <si>
    <t>Barney</t>
  </si>
  <si>
    <t>Rubble</t>
  </si>
  <si>
    <t>Betty</t>
  </si>
  <si>
    <t>First Name</t>
  </si>
  <si>
    <t>Last Name</t>
  </si>
  <si>
    <t>Johnny</t>
  </si>
  <si>
    <t>Bravo</t>
  </si>
  <si>
    <t>Son</t>
  </si>
  <si>
    <t>Goku</t>
  </si>
  <si>
    <t>Human</t>
  </si>
  <si>
    <t>Saiyan</t>
  </si>
  <si>
    <t>Elmer</t>
  </si>
  <si>
    <t>Fudd</t>
  </si>
  <si>
    <t>Rabbit</t>
  </si>
  <si>
    <t>Age</t>
  </si>
  <si>
    <t>Bob</t>
  </si>
  <si>
    <t>Belcher</t>
  </si>
  <si>
    <t>Linda</t>
  </si>
  <si>
    <t>Nicole</t>
  </si>
  <si>
    <t>Watterson</t>
  </si>
  <si>
    <t>Richard</t>
  </si>
  <si>
    <t>Cat</t>
  </si>
  <si>
    <t>Height (m)</t>
  </si>
  <si>
    <t>ID</t>
  </si>
  <si>
    <t>Referral Date</t>
  </si>
  <si>
    <t>BMI</t>
  </si>
  <si>
    <t>BMI Category</t>
  </si>
  <si>
    <t>Age Bracket</t>
  </si>
  <si>
    <t>Superhuman</t>
  </si>
  <si>
    <t>Animal</t>
  </si>
  <si>
    <t>Gender</t>
  </si>
  <si>
    <t>M</t>
  </si>
  <si>
    <t>F</t>
  </si>
  <si>
    <t>Category</t>
  </si>
  <si>
    <t>Identity</t>
  </si>
  <si>
    <t>Column Labels</t>
  </si>
  <si>
    <t>Grand Total</t>
  </si>
  <si>
    <t>Distinct Count of ID</t>
  </si>
  <si>
    <t>Weight Loss Target</t>
  </si>
  <si>
    <t>Average</t>
  </si>
  <si>
    <t>Overweight</t>
  </si>
  <si>
    <t>Weight Loss Advice</t>
  </si>
  <si>
    <t>Initial Weight (kg)</t>
  </si>
  <si>
    <t>Final Weight</t>
  </si>
  <si>
    <t>Programme Result</t>
  </si>
  <si>
    <t>No weight change</t>
  </si>
  <si>
    <t>Weight gained</t>
  </si>
  <si>
    <t>Weight loss target met</t>
  </si>
  <si>
    <t>Weight loss target not met but some weight lost</t>
  </si>
  <si>
    <t>All</t>
  </si>
  <si>
    <t>25-34</t>
  </si>
  <si>
    <t>35-44</t>
  </si>
  <si>
    <t>45-54</t>
  </si>
  <si>
    <t>Weight</t>
  </si>
  <si>
    <t>Height</t>
  </si>
  <si>
    <t>Referral Date/Time</t>
  </si>
  <si>
    <t>Mickey</t>
  </si>
  <si>
    <t>Minnie</t>
  </si>
  <si>
    <t>Daisy</t>
  </si>
  <si>
    <t>Donald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</si>
  <si>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</si>
  <si>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</si>
  <si>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</si>
  <si>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</si>
  <si>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</si>
  <si>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</si>
  <si>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</si>
  <si>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</si>
  <si>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</si>
  <si>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Clients by weight loss programme outcomes</t>
  </si>
  <si>
    <t>Client age brackets by identity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</si>
</sst>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 pivotButton="1"/>
    <xf numFmtId="2" fontId="1" fillId="0" borderId="0" xfId="0" applyNumberFormat="1" applyFont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numFmt numFmtId="2" formatCode="0.00"/>
    </dxf>
    <dxf>
      <numFmt numFmtId="2" formatCode="0.00"/>
    </dxf>
    <dxf>
      <numFmt numFmtId="19" formatCode="dd/mm/yyyy"/>
    </dxf>
    <dxf>
      <font>
        <strike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[WeightLossProgramme Excel exercise - JG.xlsx]Results Pivot!PivotTable1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Clients by weight loss programme outcomes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'Results Pivot'!$B$5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'Results Pivot'!$A$6:$A$10</c:f>
              <c:strCache>
                <c:ptCount val="4"/>
                <c:pt idx="0">
                  <c:v>No weight change</c:v>
                </c:pt>
                <c:pt idx="1">
                  <c:v>Weight gained</c:v>
                </c:pt>
                <c:pt idx="2">
                  <c:v>Weight loss target met</c:v>
                </c:pt>
                <c:pt idx="3">
                  <c:v>Weight loss target not met but some weight lost</c:v>
                </c:pt>
              </c:strCache>
            </c:strRef>
          </c:cat>
          <c:val>
            <c:numRef>
              <c:f>'Results Pivot'!$B$6:$B$10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3-4F96-9EBF-D83DEF3C3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425471"/>
        <c:axId val="175413951"/>
      </c:barChart>
      <c:catAx>
        <c:axId val="17542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13951"/>
        <c:crosses val="autoZero"/>
        <c:auto val="1"/>
        <c:lblAlgn val="ctr"/>
        <c:lblOffset val="100"/>
        <c:noMultiLvlLbl val="0"/>
      </c:catAx>
      <c:valAx>
        <c:axId val="17541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2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[WeightLossProgramme Excel exercise - JG.xlsx]Age Distribution!PivotTable1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Human client age brackets</a:t>
            </a:r>
          </a:p>
        </c:rich>
      </c:tx>
      <c:layout>
        <c:manualLayout>
          <c:xMode val="edge"/>
          <c:yMode val="edge"/>
          <c:x val="0.28091666666666665"/>
          <c:y val="0.18314377369495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'Age Distribution'!$B$3:$B$4</c:f>
              <c:strCache>
                <c:ptCount val="1"/>
                <c:pt idx="0">
                  <c:v>Human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'Age Distribution'!$A$5:$A$8</c:f>
              <c:strCache>
                <c:ptCount val="3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</c:strCache>
            </c:strRef>
          </c:cat>
          <c:val>
            <c:numRef>
              <c:f>'Age Distribution'!$B$5:$B$8</c:f>
              <c:numCache>
                <c:formatCode>General</c:formatCode>
                <c:ptCount val="3"/>
                <c:pt idx="0">
                  <c:v>3</c:v>
                </c:pt>
                <c:pt idx="1">
                  <c:v>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4-4C9B-A6C6-738EB8B75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319087</xdr:colOff>
      <xdr:row>1</xdr:row>
      <xdr:rowOff>90486</xdr:rowOff>
    </xdr:from>
    <xdr:to>
      <xdr:col>14</xdr:col>
      <xdr:colOff>452437</xdr:colOff>
      <xdr:row>19</xdr:row>
      <xdr:rowOff>152399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74E402-8658-A034-0358-74938BD80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3</xdr:row>
      <xdr:rowOff>14287</xdr:rowOff>
    </xdr:from>
    <xdr:to>
      <xdr:col>13</xdr:col>
      <xdr:colOff>342900</xdr:colOff>
      <xdr:row>17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7BD7BA-D24A-77CB-897C-7148F6B65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lien Godard" refreshedDate="46136.638891319446" backgroundQuery="1" createdVersion="8" refreshedVersion="8" minRefreshableVersion="3" recordCount="0" supportSubquery="1" supportAdvancedDrill="1" xr:uid="{4D30F219-CDBA-4CC5-8345-D21336DBF823}">
  <cacheSource type="external" connectionId="2"/>
  <cacheFields count="5">
    <cacheField name="[Measures].[Distinct Count of ID]" caption="Distinct Count of ID" numFmtId="0" hierarchy="23" level="32767"/>
    <cacheField name="[WeightLossGroup_Dataset].[Programme Result].[Programme Result]" caption="Programme Result" numFmtId="0" hierarchy="16" level="1">
      <sharedItems count="4">
        <s v="No weight change"/>
        <s v="Weight gained"/>
        <s v="Weight loss target met"/>
        <s v="Weight loss target not met but some weight lost"/>
      </sharedItems>
    </cacheField>
    <cacheField name="[WeightLossGroup_Dataset].[Gender].[Gender]" caption="Gender" numFmtId="0" hierarchy="3" level="1">
      <sharedItems containsSemiMixedTypes="0" containsNonDate="0" containsString="0"/>
    </cacheField>
    <cacheField name="[WeightLossGroup_Dataset].[Age Bracket].[Age Bracket]" caption="Age Bracket" numFmtId="0" hierarchy="6" level="1">
      <sharedItems containsSemiMixedTypes="0" containsNonDate="0" containsString="0"/>
    </cacheField>
    <cacheField name="[WeightLossGroup_Dataset].[Identity].[Identity]" caption="Identity" numFmtId="0" hierarchy="4" level="1">
      <sharedItems containsSemiMixedTypes="0" containsNonDate="0" containsString="0"/>
    </cacheField>
  </cacheFields>
  <cacheHierarchies count="24">
    <cacheHierarchy uniqueName="[WeightLossGroup_Dataset].[ID]" caption="ID" attribute="1" defaultMemberUniqueName="[WeightLossGroup_Dataset].[ID].[All]" allUniqueName="[WeightLossGroup_Dataset].[ID].[All]" dimensionUniqueName="[WeightLossGroup_Dataset]" displayFolder="" count="0" memberValueDatatype="20" unbalanced="0"/>
    <cacheHierarchy uniqueName="[WeightLossGroup_Dataset].[First Name]" caption="First Name" attribute="1" defaultMemberUniqueName="[WeightLossGroup_Dataset].[First Name].[All]" allUniqueName="[WeightLossGroup_Dataset].[First Name].[All]" dimensionUniqueName="[WeightLossGroup_Dataset]" displayFolder="" count="0" memberValueDatatype="130" unbalanced="0"/>
    <cacheHierarchy uniqueName="[WeightLossGroup_Dataset].[Last Name]" caption="Last Name" attribute="1" defaultMemberUniqueName="[WeightLossGroup_Dataset].[Last Name].[All]" allUniqueName="[WeightLossGroup_Dataset].[Last Name].[All]" dimensionUniqueName="[WeightLossGroup_Dataset]" displayFolder="" count="0" memberValueDatatype="130" unbalanced="0"/>
    <cacheHierarchy uniqueName="[WeightLossGroup_Dataset].[Gender]" caption="Gender" attribute="1" defaultMemberUniqueName="[WeightLossGroup_Dataset].[Gender].[All]" allUniqueName="[WeightLossGroup_Dataset].[Gender].[All]" dimensionUniqueName="[WeightLossGroup_Dataset]" displayFolder="" count="2" memberValueDatatype="130" unbalanced="0">
      <fieldsUsage count="2">
        <fieldUsage x="-1"/>
        <fieldUsage x="2"/>
      </fieldsUsage>
    </cacheHierarchy>
    <cacheHierarchy uniqueName="[WeightLossGroup_Dataset].[Identity]" caption="Identity" attribute="1" defaultMemberUniqueName="[WeightLossGroup_Dataset].[Identity].[All]" allUniqueName="[WeightLossGroup_Dataset].[Identity].[All]" dimensionUniqueName="[WeightLossGroup_Dataset]" displayFolder="" count="2" memberValueDatatype="130" unbalanced="0">
      <fieldsUsage count="2">
        <fieldUsage x="-1"/>
        <fieldUsage x="4"/>
      </fieldsUsage>
    </cacheHierarchy>
    <cacheHierarchy uniqueName="[WeightLossGroup_Dataset].[Category]" caption="Category" attribute="1" defaultMemberUniqueName="[WeightLossGroup_Dataset].[Category].[All]" allUniqueName="[WeightLossGroup_Dataset].[Category].[All]" dimensionUniqueName="[WeightLossGroup_Dataset]" displayFolder="" count="0" memberValueDatatype="130" unbalanced="0"/>
    <cacheHierarchy uniqueName="[WeightLossGroup_Dataset].[Age Bracket]" caption="Age Bracket" attribute="1" defaultMemberUniqueName="[WeightLossGroup_Dataset].[Age Bracket].[All]" allUniqueName="[WeightLossGroup_Dataset].[Age Bracket].[All]" dimensionUniqueName="[WeightLossGroup_Dataset]" displayFolder="" count="2" memberValueDatatype="130" unbalanced="0">
      <fieldsUsage count="2">
        <fieldUsage x="-1"/>
        <fieldUsage x="3"/>
      </fieldsUsage>
    </cacheHierarchy>
    <cacheHierarchy uniqueName="[WeightLossGroup_Dataset].[Initial Weight (kg)]" caption="Initial Weight (kg)" attribute="1" defaultMemberUniqueName="[WeightLossGroup_Dataset].[Initial Weight (kg)].[All]" allUniqueName="[WeightLossGroup_Dataset].[Initial Weight (kg)].[All]" dimensionUniqueName="[WeightLossGroup_Dataset]" displayFolder="" count="0" memberValueDatatype="5" unbalanced="0"/>
    <cacheHierarchy uniqueName="[WeightLossGroup_Dataset].[Height (m)]" caption="Height (m)" attribute="1" defaultMemberUniqueName="[WeightLossGroup_Dataset].[Height (m)].[All]" allUniqueName="[WeightLossGroup_Dataset].[Height (m)].[All]" dimensionUniqueName="[WeightLossGroup_Dataset]" displayFolder="" count="0" memberValueDatatype="5" unbalanced="0"/>
    <cacheHierarchy uniqueName="[WeightLossGroup_Dataset].[Age]" caption="Age" attribute="1" defaultMemberUniqueName="[WeightLossGroup_Dataset].[Age].[All]" allUniqueName="[WeightLossGroup_Dataset].[Age].[All]" dimensionUniqueName="[WeightLossGroup_Dataset]" displayFolder="" count="0" memberValueDatatype="20" unbalanced="0"/>
    <cacheHierarchy uniqueName="[WeightLossGroup_Dataset].[Referral Date]" caption="Referral Date" attribute="1" time="1" defaultMemberUniqueName="[WeightLossGroup_Dataset].[Referral Date].[All]" allUniqueName="[WeightLossGroup_Dataset].[Referral Date].[All]" dimensionUniqueName="[WeightLossGroup_Dataset]" displayFolder="" count="0" memberValueDatatype="7" unbalanced="0"/>
    <cacheHierarchy uniqueName="[WeightLossGroup_Dataset].[BMI]" caption="BMI" attribute="1" defaultMemberUniqueName="[WeightLossGroup_Dataset].[BMI].[All]" allUniqueName="[WeightLossGroup_Dataset].[BMI].[All]" dimensionUniqueName="[WeightLossGroup_Dataset]" displayFolder="" count="0" memberValueDatatype="5" unbalanced="0"/>
    <cacheHierarchy uniqueName="[WeightLossGroup_Dataset].[BMI Category]" caption="BMI Category" attribute="1" defaultMemberUniqueName="[WeightLossGroup_Dataset].[BMI Category].[All]" allUniqueName="[WeightLossGroup_Dataset].[BMI Category].[All]" dimensionUniqueName="[WeightLossGroup_Dataset]" displayFolder="" count="0" memberValueDatatype="130" unbalanced="0"/>
    <cacheHierarchy uniqueName="[WeightLossGroup_Dataset].[Weight Loss Advice]" caption="Weight Loss Advice" attribute="1" defaultMemberUniqueName="[WeightLossGroup_Dataset].[Weight Loss Advice].[All]" allUniqueName="[WeightLossGroup_Dataset].[Weight Loss Advice].[All]" dimensionUniqueName="[WeightLossGroup_Dataset]" displayFolder="" count="0" memberValueDatatype="130" unbalanced="0"/>
    <cacheHierarchy uniqueName="[WeightLossGroup_Dataset].[Weight Loss Target]" caption="Weight Loss Target" attribute="1" defaultMemberUniqueName="[WeightLossGroup_Dataset].[Weight Loss Target].[All]" allUniqueName="[WeightLossGroup_Dataset].[Weight Loss Target].[All]" dimensionUniqueName="[WeightLossGroup_Dataset]" displayFolder="" count="0" memberValueDatatype="5" unbalanced="0"/>
    <cacheHierarchy uniqueName="[WeightLossGroup_Dataset].[Final Weight]" caption="Final Weight" attribute="1" defaultMemberUniqueName="[WeightLossGroup_Dataset].[Final Weight].[All]" allUniqueName="[WeightLossGroup_Dataset].[Final Weight].[All]" dimensionUniqueName="[WeightLossGroup_Dataset]" displayFolder="" count="0" memberValueDatatype="5" unbalanced="0"/>
    <cacheHierarchy uniqueName="[WeightLossGroup_Dataset].[Programme Result]" caption="Programme Result" attribute="1" defaultMemberUniqueName="[WeightLossGroup_Dataset].[Programme Result].[All]" allUniqueName="[WeightLossGroup_Dataset].[Programme Result].[All]" dimensionUniqueName="[WeightLossGroup_Dataset]" displayFolder="" count="2" memberValueDatatype="130" unbalanced="0">
      <fieldsUsage count="2">
        <fieldUsage x="-1"/>
        <fieldUsage x="1"/>
      </fieldsUsage>
    </cacheHierarchy>
    <cacheHierarchy uniqueName="[WeightLossGroup_Dataset].[Referral Date (Year)]" caption="Referral Date (Year)" attribute="1" defaultMemberUniqueName="[WeightLossGroup_Dataset].[Referral Date (Year)].[All]" allUniqueName="[WeightLossGroup_Dataset].[Referral Date (Year)].[All]" dimensionUniqueName="[WeightLossGroup_Dataset]" displayFolder="" count="2" memberValueDatatype="130" unbalanced="0"/>
    <cacheHierarchy uniqueName="[WeightLossGroup_Dataset].[Referral Date (Month)]" caption="Referral Date (Month)" attribute="1" defaultMemberUniqueName="[WeightLossGroup_Dataset].[Referral Date (Month)].[All]" allUniqueName="[WeightLossGroup_Dataset].[Referral Date (Month)].[All]" dimensionUniqueName="[WeightLossGroup_Dataset]" displayFolder="" count="2" memberValueDatatype="130" unbalanced="0"/>
    <cacheHierarchy uniqueName="[WeightLossGroup_Dataset].[Referral Date (Month Index)]" caption="Referral Date (Month Index)" attribute="1" defaultMemberUniqueName="[WeightLossGroup_Dataset].[Referral Date (Month Index)].[All]" allUniqueName="[WeightLossGroup_Dataset].[Referral Date (Month Index)].[All]" dimensionUniqueName="[WeightLossGroup_Dataset]" displayFolder="" count="0" memberValueDatatype="20" unbalanced="0" hidden="1"/>
    <cacheHierarchy uniqueName="[Measures].[__XL_Count WeightLossGroup_Dataset]" caption="__XL_Count WeightLossGroup_Dataset" measure="1" displayFolder="" measureGroup="WeightLossGroup_Dataset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WeightLossGroup_Datase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WeightLossGroup_Datase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WeightLossGroup_Dataset" uniqueName="[WeightLossGroup_Dataset]" caption="WeightLossGroup_Dataset"/>
  </dimensions>
  <measureGroups count="1">
    <measureGroup name="WeightLossGroup_Dataset" caption="WeightLossGroup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lien Godard" refreshedDate="46136.64403171296" backgroundQuery="1" createdVersion="8" refreshedVersion="8" minRefreshableVersion="3" recordCount="0" supportSubquery="1" supportAdvancedDrill="1" xr:uid="{C0E148AF-D38C-4687-BFE5-4857D9F0FE74}">
  <cacheSource type="external" connectionId="2"/>
  <cacheFields count="4">
    <cacheField name="[Measures].[Distinct Count of ID]" caption="Distinct Count of ID" numFmtId="0" hierarchy="23" level="32767"/>
    <cacheField name="[WeightLossGroup_Dataset].[Gender].[Gender]" caption="Gender" numFmtId="0" hierarchy="3" level="1">
      <sharedItems containsSemiMixedTypes="0" containsNonDate="0" containsString="0"/>
    </cacheField>
    <cacheField name="[WeightLossGroup_Dataset].[Age Bracket].[Age Bracket]" caption="Age Bracket" numFmtId="0" hierarchy="6" level="1">
      <sharedItems count="3">
        <s v="25-34"/>
        <s v="35-44"/>
        <s v="45-54"/>
      </sharedItems>
    </cacheField>
    <cacheField name="[WeightLossGroup_Dataset].[Identity].[Identity]" caption="Identity" numFmtId="0" hierarchy="4" level="1">
      <sharedItems count="6">
        <s v="Human"/>
        <s v="Cat" u="1"/>
        <s v="Duck" u="1"/>
        <s v="Pig" u="1"/>
        <s v="Rabbit" u="1"/>
        <s v="Saiyan" u="1"/>
      </sharedItems>
    </cacheField>
  </cacheFields>
  <cacheHierarchies count="24">
    <cacheHierarchy uniqueName="[WeightLossGroup_Dataset].[ID]" caption="ID" attribute="1" defaultMemberUniqueName="[WeightLossGroup_Dataset].[ID].[All]" allUniqueName="[WeightLossGroup_Dataset].[ID].[All]" dimensionUniqueName="[WeightLossGroup_Dataset]" displayFolder="" count="0" memberValueDatatype="20" unbalanced="0"/>
    <cacheHierarchy uniqueName="[WeightLossGroup_Dataset].[First Name]" caption="First Name" attribute="1" defaultMemberUniqueName="[WeightLossGroup_Dataset].[First Name].[All]" allUniqueName="[WeightLossGroup_Dataset].[First Name].[All]" dimensionUniqueName="[WeightLossGroup_Dataset]" displayFolder="" count="0" memberValueDatatype="130" unbalanced="0"/>
    <cacheHierarchy uniqueName="[WeightLossGroup_Dataset].[Last Name]" caption="Last Name" attribute="1" defaultMemberUniqueName="[WeightLossGroup_Dataset].[Last Name].[All]" allUniqueName="[WeightLossGroup_Dataset].[Last Name].[All]" dimensionUniqueName="[WeightLossGroup_Dataset]" displayFolder="" count="0" memberValueDatatype="130" unbalanced="0"/>
    <cacheHierarchy uniqueName="[WeightLossGroup_Dataset].[Gender]" caption="Gender" attribute="1" defaultMemberUniqueName="[WeightLossGroup_Dataset].[Gender].[All]" allUniqueName="[WeightLossGroup_Dataset].[Gender].[All]" dimensionUniqueName="[WeightLossGroup_Dataset]" displayFolder="" count="2" memberValueDatatype="130" unbalanced="0">
      <fieldsUsage count="2">
        <fieldUsage x="-1"/>
        <fieldUsage x="1"/>
      </fieldsUsage>
    </cacheHierarchy>
    <cacheHierarchy uniqueName="[WeightLossGroup_Dataset].[Identity]" caption="Identity" attribute="1" defaultMemberUniqueName="[WeightLossGroup_Dataset].[Identity].[All]" allUniqueName="[WeightLossGroup_Dataset].[Identity].[All]" dimensionUniqueName="[WeightLossGroup_Dataset]" displayFolder="" count="2" memberValueDatatype="130" unbalanced="0">
      <fieldsUsage count="2">
        <fieldUsage x="-1"/>
        <fieldUsage x="3"/>
      </fieldsUsage>
    </cacheHierarchy>
    <cacheHierarchy uniqueName="[WeightLossGroup_Dataset].[Category]" caption="Category" attribute="1" defaultMemberUniqueName="[WeightLossGroup_Dataset].[Category].[All]" allUniqueName="[WeightLossGroup_Dataset].[Category].[All]" dimensionUniqueName="[WeightLossGroup_Dataset]" displayFolder="" count="0" memberValueDatatype="130" unbalanced="0"/>
    <cacheHierarchy uniqueName="[WeightLossGroup_Dataset].[Age Bracket]" caption="Age Bracket" attribute="1" defaultMemberUniqueName="[WeightLossGroup_Dataset].[Age Bracket].[All]" allUniqueName="[WeightLossGroup_Dataset].[Age Bracket].[All]" dimensionUniqueName="[WeightLossGroup_Dataset]" displayFolder="" count="2" memberValueDatatype="130" unbalanced="0">
      <fieldsUsage count="2">
        <fieldUsage x="-1"/>
        <fieldUsage x="2"/>
      </fieldsUsage>
    </cacheHierarchy>
    <cacheHierarchy uniqueName="[WeightLossGroup_Dataset].[Initial Weight (kg)]" caption="Initial Weight (kg)" attribute="1" defaultMemberUniqueName="[WeightLossGroup_Dataset].[Initial Weight (kg)].[All]" allUniqueName="[WeightLossGroup_Dataset].[Initial Weight (kg)].[All]" dimensionUniqueName="[WeightLossGroup_Dataset]" displayFolder="" count="0" memberValueDatatype="5" unbalanced="0"/>
    <cacheHierarchy uniqueName="[WeightLossGroup_Dataset].[Height (m)]" caption="Height (m)" attribute="1" defaultMemberUniqueName="[WeightLossGroup_Dataset].[Height (m)].[All]" allUniqueName="[WeightLossGroup_Dataset].[Height (m)].[All]" dimensionUniqueName="[WeightLossGroup_Dataset]" displayFolder="" count="0" memberValueDatatype="5" unbalanced="0"/>
    <cacheHierarchy uniqueName="[WeightLossGroup_Dataset].[Age]" caption="Age" attribute="1" defaultMemberUniqueName="[WeightLossGroup_Dataset].[Age].[All]" allUniqueName="[WeightLossGroup_Dataset].[Age].[All]" dimensionUniqueName="[WeightLossGroup_Dataset]" displayFolder="" count="0" memberValueDatatype="20" unbalanced="0"/>
    <cacheHierarchy uniqueName="[WeightLossGroup_Dataset].[Referral Date]" caption="Referral Date" attribute="1" time="1" defaultMemberUniqueName="[WeightLossGroup_Dataset].[Referral Date].[All]" allUniqueName="[WeightLossGroup_Dataset].[Referral Date].[All]" dimensionUniqueName="[WeightLossGroup_Dataset]" displayFolder="" count="0" memberValueDatatype="7" unbalanced="0"/>
    <cacheHierarchy uniqueName="[WeightLossGroup_Dataset].[BMI]" caption="BMI" attribute="1" defaultMemberUniqueName="[WeightLossGroup_Dataset].[BMI].[All]" allUniqueName="[WeightLossGroup_Dataset].[BMI].[All]" dimensionUniqueName="[WeightLossGroup_Dataset]" displayFolder="" count="0" memberValueDatatype="5" unbalanced="0"/>
    <cacheHierarchy uniqueName="[WeightLossGroup_Dataset].[BMI Category]" caption="BMI Category" attribute="1" defaultMemberUniqueName="[WeightLossGroup_Dataset].[BMI Category].[All]" allUniqueName="[WeightLossGroup_Dataset].[BMI Category].[All]" dimensionUniqueName="[WeightLossGroup_Dataset]" displayFolder="" count="0" memberValueDatatype="130" unbalanced="0"/>
    <cacheHierarchy uniqueName="[WeightLossGroup_Dataset].[Weight Loss Advice]" caption="Weight Loss Advice" attribute="1" defaultMemberUniqueName="[WeightLossGroup_Dataset].[Weight Loss Advice].[All]" allUniqueName="[WeightLossGroup_Dataset].[Weight Loss Advice].[All]" dimensionUniqueName="[WeightLossGroup_Dataset]" displayFolder="" count="0" memberValueDatatype="130" unbalanced="0"/>
    <cacheHierarchy uniqueName="[WeightLossGroup_Dataset].[Weight Loss Target]" caption="Weight Loss Target" attribute="1" defaultMemberUniqueName="[WeightLossGroup_Dataset].[Weight Loss Target].[All]" allUniqueName="[WeightLossGroup_Dataset].[Weight Loss Target].[All]" dimensionUniqueName="[WeightLossGroup_Dataset]" displayFolder="" count="0" memberValueDatatype="5" unbalanced="0"/>
    <cacheHierarchy uniqueName="[WeightLossGroup_Dataset].[Final Weight]" caption="Final Weight" attribute="1" defaultMemberUniqueName="[WeightLossGroup_Dataset].[Final Weight].[All]" allUniqueName="[WeightLossGroup_Dataset].[Final Weight].[All]" dimensionUniqueName="[WeightLossGroup_Dataset]" displayFolder="" count="0" memberValueDatatype="5" unbalanced="0"/>
    <cacheHierarchy uniqueName="[WeightLossGroup_Dataset].[Programme Result]" caption="Programme Result" attribute="1" defaultMemberUniqueName="[WeightLossGroup_Dataset].[Programme Result].[All]" allUniqueName="[WeightLossGroup_Dataset].[Programme Result].[All]" dimensionUniqueName="[WeightLossGroup_Dataset]" displayFolder="" count="0" memberValueDatatype="130" unbalanced="0"/>
    <cacheHierarchy uniqueName="[WeightLossGroup_Dataset].[Referral Date (Year)]" caption="Referral Date (Year)" attribute="1" defaultMemberUniqueName="[WeightLossGroup_Dataset].[Referral Date (Year)].[All]" allUniqueName="[WeightLossGroup_Dataset].[Referral Date (Year)].[All]" dimensionUniqueName="[WeightLossGroup_Dataset]" displayFolder="" count="2" memberValueDatatype="130" unbalanced="0"/>
    <cacheHierarchy uniqueName="[WeightLossGroup_Dataset].[Referral Date (Month)]" caption="Referral Date (Month)" attribute="1" defaultMemberUniqueName="[WeightLossGroup_Dataset].[Referral Date (Month)].[All]" allUniqueName="[WeightLossGroup_Dataset].[Referral Date (Month)].[All]" dimensionUniqueName="[WeightLossGroup_Dataset]" displayFolder="" count="2" memberValueDatatype="130" unbalanced="0"/>
    <cacheHierarchy uniqueName="[WeightLossGroup_Dataset].[Referral Date (Month Index)]" caption="Referral Date (Month Index)" attribute="1" defaultMemberUniqueName="[WeightLossGroup_Dataset].[Referral Date (Month Index)].[All]" allUniqueName="[WeightLossGroup_Dataset].[Referral Date (Month Index)].[All]" dimensionUniqueName="[WeightLossGroup_Dataset]" displayFolder="" count="0" memberValueDatatype="20" unbalanced="0" hidden="1"/>
    <cacheHierarchy uniqueName="[Measures].[__XL_Count WeightLossGroup_Dataset]" caption="__XL_Count WeightLossGroup_Dataset" measure="1" displayFolder="" measureGroup="WeightLossGroup_Dataset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WeightLossGroup_Datase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ID]" caption="Distinct Count of ID" measure="1" displayFolder="" measureGroup="WeightLossGroup_Datase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WeightLossGroup_Dataset" uniqueName="[WeightLossGroup_Dataset]" caption="WeightLossGroup_Dataset"/>
  </dimensions>
  <measureGroups count="1">
    <measureGroup name="WeightLossGroup_Dataset" caption="WeightLossGroup_Datase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71CAB-5B4D-4621-8F4B-5106DCDB4813}" name="PivotTable1" cacheId="2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rowHeaderCaption="Clients by weight loss programme outcomes">
  <location ref="A5:B10" firstHeaderRow="1" firstDataRow="1" firstDataCol="1" rowPageCount="3" colPageCount="1"/>
  <pivotFields count="5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2" hier="3" name="[WeightLossGroup_Dataset].[Gender].[All]" cap="All"/>
    <pageField fld="3" hier="6" name="[WeightLossGroup_Dataset].[Age Bracket].[All]" cap="All"/>
    <pageField fld="4" hier="4" name="[WeightLossGroup_Dataset].[Identity].[All]" cap="All"/>
  </pageFields>
  <dataFields count="1">
    <dataField name="Distinct Count of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ID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eightLossGroup Dataset.xlsx!WeightLossGroup_Dataset">
        <x15:activeTabTopLevelEntity name="[WeightLossGroup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D38CD-1845-463C-B257-F4AD111985EE}" name="PivotTable1" cacheId="4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Client age brackets by identity">
  <location ref="A3:C8" firstHeaderRow="1" firstDataRow="2" firstDataCol="1" rowPageCount="1" colPageCount="1"/>
  <pivotFields count="4"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6">
        <item s="1" x="0"/>
        <item x="1"/>
        <item x="2"/>
        <item x="3"/>
        <item x="4"/>
        <item x="5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2">
    <i>
      <x/>
    </i>
    <i t="grand">
      <x/>
    </i>
  </colItems>
  <pageFields count="1">
    <pageField fld="1" hier="3" name="[WeightLossGroup_Dataset].[Gender].[All]" cap="All"/>
  </pageFields>
  <dataFields count="1">
    <dataField name="Distinct Count of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ID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eightLossGroup Dataset.xlsx!WeightLossGroup_Dataset">
        <x15:activeTabTopLevelEntity name="[WeightLossGroup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5E8780-EA1F-4BA4-9E84-271E41F4601C}" autoFormatId="16" applyNumberFormats="0" applyBorderFormats="0" applyFontFormats="0" applyPatternFormats="0" applyAlignmentFormats="0" applyWidthHeightFormats="0">
  <queryTableRefresh nextId="34" unboundColumnsRight="4">
    <queryTableFields count="17">
      <queryTableField id="1" name="ID" tableColumnId="1"/>
      <queryTableField id="2" name="First Name" tableColumnId="2"/>
      <queryTableField id="3" name="Last Name" tableColumnId="3"/>
      <queryTableField id="13" name="Gender" tableColumnId="13"/>
      <queryTableField id="19" name="Identity" tableColumnId="16"/>
      <queryTableField id="22" dataBound="0" tableColumnId="17"/>
      <queryTableField id="11" dataBound="0" tableColumnId="11"/>
      <queryTableField id="27" name="Initial Weight (kg)" tableColumnId="22"/>
      <queryTableField id="6" name="Height (m)" tableColumnId="6"/>
      <queryTableField id="7" name="Age" tableColumnId="7"/>
      <queryTableField id="8" name="Referral Date" tableColumnId="8"/>
      <queryTableField id="9" name="BMI" tableColumnId="9"/>
      <queryTableField id="26" name="BMI Category" tableColumnId="21"/>
      <queryTableField id="23" dataBound="0" tableColumnId="18"/>
      <queryTableField id="32" dataBound="0" tableColumnId="25"/>
      <queryTableField id="29" dataBound="0" tableColumnId="23"/>
      <queryTableField id="33" dataBound="0" tableColumnId="26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9223F8-3B8F-49A7-8F7B-030FF0681DB5}" name="Table2" displayName="Table2" ref="A1:B8" totalsRowShown="0">
  <autoFilter ref="A1:B8" xr:uid="{E99223F8-3B8F-49A7-8F7B-030FF0681DB5}"/>
  <tableColumns count="2">
    <tableColumn id="1" xr3:uid="{CA4CC7B0-F8FD-4E04-AD2D-4E9DEE191679}" name="Identity"/>
    <tableColumn id="2" xr3:uid="{57597D36-B614-467E-99B0-2B2FEC7268E1}" name="Category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393727-AEB4-4316-82E2-53FCFBF6830E}" name="Table5" displayName="Table5" ref="A1:B17" totalsRowShown="0">
  <autoFilter ref="A1:B17" xr:uid="{DE393727-AEB4-4316-82E2-53FCFBF6830E}"/>
  <tableColumns count="2">
    <tableColumn id="1" xr3:uid="{00A593DF-1B1C-4B4C-9723-5F6A1E82911E}" name="ID"/>
    <tableColumn id="2" xr3:uid="{603A9AA7-1F2A-433A-ADA8-933577669322}" name="Final Weight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CC7124-6AB3-4586-82BD-F3EB75611CCE}" name="RawData" displayName="RawData" ref="A1:I22" totalsRowShown="0">
  <autoFilter ref="A1:I22" xr:uid="{51CC7124-6AB3-4586-82BD-F3EB75611CCE}"/>
  <tableColumns count="9">
    <tableColumn id="1" xr3:uid="{CA5C5826-A154-4DBC-B84E-839EE5959928}" name="Column1"/>
    <tableColumn id="2" xr3:uid="{A4F0A421-33E3-4F5E-BC18-70EC736D1E41}" name="Column2"/>
    <tableColumn id="3" xr3:uid="{E8B8FAB9-4B10-4CDB-A0EA-55321BD9DD70}" name="Column3"/>
    <tableColumn id="4" xr3:uid="{CD3A61B7-7287-4C51-9437-7E2F9FBDB4EC}" name="Column4"/>
    <tableColumn id="5" xr3:uid="{8A40FB06-35FD-4910-ABB0-AB4F454C19BF}" name="Column5"/>
    <tableColumn id="6" xr3:uid="{2530DF9B-DEA1-450D-BC81-9EE26A62590B}" name="Column6"/>
    <tableColumn id="7" xr3:uid="{02EACFED-4BB9-441B-9143-BE1A8C47E5FA}" name="Column7"/>
    <tableColumn id="8" xr3:uid="{759A6C95-9AE2-4324-88D1-8E0B7F877171}" name="Column8"/>
    <tableColumn id="9" xr3:uid="{CD7EB761-27B5-4B22-AB44-9EACC88B607F}" name="Column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48704-140D-4374-85B2-0BC74383CE75}" name="WeightLossGroup_Dataset" displayName="WeightLossGroup_Dataset" ref="A1:Q17" tableType="queryTable" totalsRowShown="0">
  <autoFilter ref="A1:Q17" xr:uid="{85748704-140D-4374-85B2-0BC74383CE75}"/>
  <tableColumns count="17">
    <tableColumn id="1" xr3:uid="{1585FDFD-001D-41D6-BD98-54A57D24A6D2}" uniqueName="1" name="ID" queryTableFieldId="1"/>
    <tableColumn id="2" xr3:uid="{2C7113C8-81EF-4FCF-B907-D5FFB61C50BF}" uniqueName="2" name="First Name" queryTableFieldId="2" dataDxfId="11"/>
    <tableColumn id="3" xr3:uid="{C550AC85-C833-466D-8F90-63D210690166}" uniqueName="3" name="Last Name" queryTableFieldId="3" dataDxfId="10"/>
    <tableColumn id="13" xr3:uid="{3C4A430E-2322-4DD7-AAED-933E5F1CDF56}" uniqueName="13" name="Gender" queryTableFieldId="13" dataDxfId="9"/>
    <tableColumn id="16" xr3:uid="{85FE4501-1167-4551-B909-ED0AB232B9F5}" uniqueName="16" name="Identity" queryTableFieldId="19" dataDxfId="8"/>
    <tableColumn id="17" xr3:uid="{1BE6C597-D8F4-4DE9-B843-842109282D2D}" uniqueName="17" name="Category" queryTableFieldId="22" dataDxfId="7">
      <calculatedColumnFormula>_xlfn.XLOOKUP(WeightLossGroup_Dataset[[#This Row],[Identity]],'Identity Index'!A:A,'Identity Index'!B:B)</calculatedColumnFormula>
    </tableColumn>
    <tableColumn id="11" xr3:uid="{3C2D4B9D-9BDD-4F06-9D5C-0DD623D3F641}" uniqueName="11" name="Age Bracket" queryTableFieldId="11" dataDxfId="6">
      <calculatedColumnFormula array="1">_xlfn.IFS(AND(WeightLossGroup_Dataset[[#This Row],[Age]]&gt;=18, WeightLossGroup_Dataset[[#This Row],[Age]]&lt;25), "18-24", AND(WeightLossGroup_Dataset[[#This Row],[Age]]&gt;=25, WeightLossGroup_Dataset[[#This Row],[Age]]&lt;35), "25-34", AND(WeightLossGroup_Dataset[[#This Row],[Age]]&gt;=35, WeightLossGroup_Dataset[[#This Row],[Age]]&lt;44), "35-44", AND(WeightLossGroup_Dataset[[#This Row],[Age]]&gt;=45, WeightLossGroup_Dataset[[#This Row],[Age]]&lt;55), "45-54")</calculatedColumnFormula>
    </tableColumn>
    <tableColumn id="22" xr3:uid="{AECD6111-8499-4975-97DF-C80FCC5CAE91}" uniqueName="22" name="Initial Weight (kg)" queryTableFieldId="27"/>
    <tableColumn id="6" xr3:uid="{51628219-43F6-4ECF-8E13-9E06BA9655A5}" uniqueName="6" name="Height (m)" queryTableFieldId="6"/>
    <tableColumn id="7" xr3:uid="{0445F635-E3E2-44E8-8357-D68FAD7ADC29}" uniqueName="7" name="Age" queryTableFieldId="7"/>
    <tableColumn id="8" xr3:uid="{60FA896B-B378-4BDA-81D4-37C8477F1C95}" uniqueName="8" name="Referral Date" queryTableFieldId="8" dataDxfId="5"/>
    <tableColumn id="9" xr3:uid="{5F5B5FBD-CB33-470D-9595-5E9EEA676F57}" uniqueName="9" name="BMI" queryTableFieldId="9" dataDxfId="4"/>
    <tableColumn id="21" xr3:uid="{BD7D78D6-16AE-4670-8CDB-0D65119647B4}" uniqueName="21" name="BMI Category" queryTableFieldId="26"/>
    <tableColumn id="18" xr3:uid="{9E460360-A2F2-4EE5-BED8-65C4FA9ABB8A}" uniqueName="18" name="Weight Loss Advice" queryTableFieldId="23" dataDxfId="3">
      <calculatedColumnFormula array="1">_xlfn.IFS(WeightLossGroup_Dataset[[#This Row],[BMI Category]]="Underweight", "Dismiss client", WeightLossGroup_Dataset[[#This Row],[BMI Category]]= "Average", "2.5% weight loss", WeightLossGroup_Dataset[[#This Row],[BMI Category]]= "Overweight", "5% weight loss")</calculatedColumnFormula>
    </tableColumn>
    <tableColumn id="25" xr3:uid="{5693B40B-4B9A-48F5-8226-50390F3E1C89}" uniqueName="25" name="Weight Loss Target" queryTableFieldId="32" dataDxfId="2">
      <calculatedColumnFormula array="1">_xlfn.IFS(WeightLossGroup_Dataset[[#This Row],[Weight Loss Advice]]="2.5% weight loss", WeightLossGroup_Dataset[[#This Row],[Initial Weight (kg)]]*0.975, WeightLossGroup_Dataset[[#This Row],[Weight Loss Advice]]="5% weight loss", WeightLossGroup_Dataset[[#This Row],[Initial Weight (kg)]]*0.95)</calculatedColumnFormula>
    </tableColumn>
    <tableColumn id="23" xr3:uid="{6256140E-787C-4D2F-A738-7E3FF13EC8F2}" uniqueName="23" name="Final Weight" queryTableFieldId="29" dataDxfId="1">
      <calculatedColumnFormula>_xlfn.XLOOKUP(WeightLossGroup_Dataset[[#This Row],[ID]],'Programme Outcomes'!A:A,'Programme Outcomes'!B:B)</calculatedColumnFormula>
    </tableColumn>
    <tableColumn id="26" xr3:uid="{A6C7D0A0-0928-4B5C-AB32-6BAD9AD2B6C8}" uniqueName="26" name="Programme Result" queryTableFieldId="33" dataDxfId="0">
      <calculatedColumnFormula array="1">_xlfn.IFS(WeightLossGroup_Dataset[[#This Row],[Final Weight]]&lt;=WeightLossGroup_Dataset[[#This Row],[Weight Loss Target]], "Weight loss target met", AND(WeightLossGroup_Dataset[[#This Row],[Final Weight]]&gt;WeightLossGroup_Dataset[[#This Row],[Weight Loss Target]], WeightLossGroup_Dataset[[#This Row],[Final Weight]]&lt;WeightLossGroup_Dataset[[#This Row],[Initial Weight (kg)]]), "Weight loss target not met but some weight lost", WeightLossGroup_Dataset[[#This Row],[Final Weight]]&gt;WeightLossGroup_Dataset[[#This Row],[Initial Weight (kg)]], "Weight gained", WeightLossGroup_Dataset[[#This Row],[Final Weight]]=WeightLossGroup_Dataset[[#This Row],[Initial Weight (kg)]], "No weight change")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B8"/>
  <sheetViews>
    <sheetView workbookViewId="0"/>
  </sheetViews>
  <sheetFormatPr defaultRowHeight="15" x14ac:dyDescent="0.25"/>
  <cols>
    <col min="1" max="1" width="12.28515625" customWidth="1"/>
    <col min="2" max="2" width="15.5703125" customWidth="1"/>
    <col min="3" max="3" width="7.28515625" bestFit="1" customWidth="1"/>
    <col min="4" max="4" width="10.42578125" bestFit="1" customWidth="1"/>
    <col min="5" max="5" width="11.28515625" bestFit="1" customWidth="1"/>
    <col min="6" max="6" width="4.42578125" bestFit="1" customWidth="1"/>
  </cols>
  <sheetData>
    <row r="1" spans="1:2" x14ac:dyDescent="0.25">
      <c r="A1" t="s">
        <v>47</v>
      </c>
      <c r="B1" t="s">
        <v>46</v>
      </c>
    </row>
    <row r="2" spans="1:2" x14ac:dyDescent="0.25">
      <c r="A2" t="s">
        <v>0</v>
      </c>
      <c r="B2" t="s">
        <v>42</v>
      </c>
    </row>
    <row r="3" spans="1:2" x14ac:dyDescent="0.25">
      <c r="A3" t="s">
        <v>4</v>
      </c>
      <c r="B3" t="s">
        <v>42</v>
      </c>
    </row>
    <row r="4" spans="1:2" x14ac:dyDescent="0.25">
      <c r="A4" t="s">
        <v>26</v>
      </c>
      <c r="B4" t="s">
        <v>42</v>
      </c>
    </row>
    <row r="5" spans="1:2" x14ac:dyDescent="0.25">
      <c r="A5" t="s">
        <v>9</v>
      </c>
      <c r="B5" t="s">
        <v>42</v>
      </c>
    </row>
    <row r="6" spans="1:2" x14ac:dyDescent="0.25">
      <c r="A6" t="s">
        <v>22</v>
      </c>
      <c r="B6" t="s">
        <v>22</v>
      </c>
    </row>
    <row r="7" spans="1:2" x14ac:dyDescent="0.25">
      <c r="A7" t="s">
        <v>23</v>
      </c>
      <c r="B7" t="s">
        <v>41</v>
      </c>
    </row>
    <row r="8" spans="1:2" x14ac:dyDescent="0.25">
      <c r="A8" t="s">
        <v>34</v>
      </c>
      <c r="B8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546ED-2F8E-4B59-B41E-8DD55F620B76}">
  <sheetPr>
    <tabColor theme="5"/>
  </sheetPr>
  <dimension ref="A1:B17"/>
  <sheetViews>
    <sheetView workbookViewId="0"/>
  </sheetViews>
  <sheetFormatPr defaultRowHeight="15" x14ac:dyDescent="0.25"/>
  <cols>
    <col min="2" max="2" width="14.28515625" customWidth="1"/>
  </cols>
  <sheetData>
    <row r="1" spans="1:2" x14ac:dyDescent="0.25">
      <c r="A1" t="s">
        <v>36</v>
      </c>
      <c r="B1" t="s">
        <v>56</v>
      </c>
    </row>
    <row r="2" spans="1:2" x14ac:dyDescent="0.25">
      <c r="A2">
        <v>871502</v>
      </c>
      <c r="B2">
        <v>41.4</v>
      </c>
    </row>
    <row r="3" spans="1:2" x14ac:dyDescent="0.25">
      <c r="A3">
        <v>920384</v>
      </c>
      <c r="B3">
        <v>55.6</v>
      </c>
    </row>
    <row r="4" spans="1:2" x14ac:dyDescent="0.25">
      <c r="A4">
        <v>158762</v>
      </c>
      <c r="B4">
        <v>106</v>
      </c>
    </row>
    <row r="5" spans="1:2" x14ac:dyDescent="0.25">
      <c r="A5">
        <v>703945</v>
      </c>
      <c r="B5">
        <v>63</v>
      </c>
    </row>
    <row r="6" spans="1:2" x14ac:dyDescent="0.25">
      <c r="A6">
        <v>564720</v>
      </c>
      <c r="B6">
        <v>26.5</v>
      </c>
    </row>
    <row r="7" spans="1:2" x14ac:dyDescent="0.25">
      <c r="A7">
        <v>319846</v>
      </c>
      <c r="B7">
        <v>32</v>
      </c>
    </row>
    <row r="8" spans="1:2" x14ac:dyDescent="0.25">
      <c r="A8">
        <v>735902</v>
      </c>
      <c r="B8">
        <v>60</v>
      </c>
    </row>
    <row r="9" spans="1:2" x14ac:dyDescent="0.25">
      <c r="A9">
        <v>184675</v>
      </c>
      <c r="B9">
        <v>136</v>
      </c>
    </row>
    <row r="10" spans="1:2" x14ac:dyDescent="0.25">
      <c r="A10">
        <v>284619</v>
      </c>
      <c r="B10">
        <v>105</v>
      </c>
    </row>
    <row r="11" spans="1:2" x14ac:dyDescent="0.25">
      <c r="A11">
        <v>536870</v>
      </c>
      <c r="B11">
        <v>92</v>
      </c>
    </row>
    <row r="12" spans="1:2" x14ac:dyDescent="0.25">
      <c r="A12">
        <v>419287</v>
      </c>
      <c r="B12">
        <v>59</v>
      </c>
    </row>
    <row r="13" spans="1:2" x14ac:dyDescent="0.25">
      <c r="A13">
        <v>672430</v>
      </c>
      <c r="B13">
        <v>55</v>
      </c>
    </row>
    <row r="14" spans="1:2" x14ac:dyDescent="0.25">
      <c r="A14">
        <v>857169</v>
      </c>
      <c r="B14">
        <v>81</v>
      </c>
    </row>
    <row r="15" spans="1:2" x14ac:dyDescent="0.25">
      <c r="A15">
        <v>390528</v>
      </c>
      <c r="B15">
        <v>65</v>
      </c>
    </row>
    <row r="16" spans="1:2" x14ac:dyDescent="0.25">
      <c r="A16">
        <v>261794</v>
      </c>
      <c r="B16">
        <v>61.3</v>
      </c>
    </row>
    <row r="17" spans="1:2" x14ac:dyDescent="0.25">
      <c r="A17">
        <v>498613</v>
      </c>
      <c r="B17">
        <v>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1DD8-038A-40F7-B854-A5A9A7E1B6DF}">
  <sheetPr>
    <tabColor theme="1"/>
  </sheetPr>
  <dimension ref="A1:I22"/>
  <sheetViews>
    <sheetView workbookViewId="0"/>
  </sheetViews>
  <sheetFormatPr defaultRowHeight="15" x14ac:dyDescent="0.25"/>
  <cols>
    <col min="1" max="6" width="11.140625" bestFit="1" customWidth="1"/>
    <col min="7" max="7" width="18.28515625" bestFit="1" customWidth="1"/>
    <col min="8" max="9" width="11.140625" bestFit="1" customWidth="1"/>
  </cols>
  <sheetData>
    <row r="1" spans="1:9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</row>
    <row r="2" spans="1:9" x14ac:dyDescent="0.25">
      <c r="A2" t="s">
        <v>16</v>
      </c>
      <c r="B2" t="s">
        <v>66</v>
      </c>
      <c r="C2" t="s">
        <v>17</v>
      </c>
      <c r="D2" t="s">
        <v>36</v>
      </c>
      <c r="E2" t="s">
        <v>47</v>
      </c>
      <c r="F2" t="s">
        <v>67</v>
      </c>
      <c r="G2" t="s">
        <v>68</v>
      </c>
      <c r="H2" t="s">
        <v>27</v>
      </c>
      <c r="I2" t="s">
        <v>43</v>
      </c>
    </row>
    <row r="3" spans="1:9" x14ac:dyDescent="0.25">
      <c r="A3" t="s">
        <v>69</v>
      </c>
      <c r="B3">
        <v>10.4</v>
      </c>
      <c r="C3" t="s">
        <v>0</v>
      </c>
      <c r="D3">
        <v>482917</v>
      </c>
      <c r="E3" t="s">
        <v>0</v>
      </c>
      <c r="F3">
        <v>0.89</v>
      </c>
      <c r="G3">
        <v>45671.570829999997</v>
      </c>
      <c r="H3">
        <v>28</v>
      </c>
      <c r="I3" t="s">
        <v>44</v>
      </c>
    </row>
    <row r="4" spans="1:9" x14ac:dyDescent="0.25">
      <c r="A4" t="s">
        <v>70</v>
      </c>
      <c r="B4">
        <v>9.6</v>
      </c>
      <c r="C4" t="s">
        <v>0</v>
      </c>
      <c r="D4">
        <v>105634</v>
      </c>
      <c r="E4" t="s">
        <v>0</v>
      </c>
      <c r="F4">
        <v>0.88</v>
      </c>
      <c r="G4">
        <v>45691.345139999998</v>
      </c>
      <c r="H4">
        <v>28</v>
      </c>
      <c r="I4" t="s">
        <v>45</v>
      </c>
    </row>
    <row r="5" spans="1:9" x14ac:dyDescent="0.25">
      <c r="A5" t="s">
        <v>71</v>
      </c>
      <c r="B5">
        <v>9.9</v>
      </c>
      <c r="C5" t="s">
        <v>4</v>
      </c>
      <c r="D5">
        <v>798251</v>
      </c>
      <c r="E5" t="s">
        <v>4</v>
      </c>
      <c r="F5">
        <v>0.97</v>
      </c>
      <c r="G5">
        <v>45716.878470000003</v>
      </c>
      <c r="H5">
        <v>29</v>
      </c>
      <c r="I5" t="s">
        <v>45</v>
      </c>
    </row>
    <row r="6" spans="1:9" x14ac:dyDescent="0.25">
      <c r="A6" t="s">
        <v>72</v>
      </c>
      <c r="B6">
        <v>10.8</v>
      </c>
      <c r="C6" t="s">
        <v>4</v>
      </c>
      <c r="D6">
        <v>236489</v>
      </c>
      <c r="E6" t="s">
        <v>4</v>
      </c>
      <c r="F6">
        <v>0.99</v>
      </c>
      <c r="G6">
        <v>45733.647920000003</v>
      </c>
      <c r="H6">
        <v>30</v>
      </c>
      <c r="I6" t="s">
        <v>44</v>
      </c>
    </row>
    <row r="7" spans="1:9" x14ac:dyDescent="0.25">
      <c r="A7" t="s">
        <v>1</v>
      </c>
      <c r="B7">
        <v>26.7</v>
      </c>
      <c r="C7" t="s">
        <v>2</v>
      </c>
      <c r="D7">
        <v>564720</v>
      </c>
      <c r="E7" t="s">
        <v>26</v>
      </c>
      <c r="F7">
        <v>0.99</v>
      </c>
      <c r="G7">
        <v>45745.205560000002</v>
      </c>
      <c r="H7">
        <v>28</v>
      </c>
      <c r="I7" t="s">
        <v>44</v>
      </c>
    </row>
    <row r="8" spans="1:9" x14ac:dyDescent="0.25">
      <c r="A8" t="s">
        <v>7</v>
      </c>
      <c r="B8">
        <v>29.5</v>
      </c>
      <c r="C8" t="s">
        <v>4</v>
      </c>
      <c r="D8">
        <v>319846</v>
      </c>
      <c r="E8" t="s">
        <v>4</v>
      </c>
      <c r="F8">
        <v>1</v>
      </c>
      <c r="G8">
        <v>45755.824999999997</v>
      </c>
      <c r="H8">
        <v>27</v>
      </c>
      <c r="I8" t="s">
        <v>44</v>
      </c>
    </row>
    <row r="9" spans="1:9" x14ac:dyDescent="0.25">
      <c r="A9" t="s">
        <v>8</v>
      </c>
      <c r="B9">
        <v>42.5</v>
      </c>
      <c r="C9" t="s">
        <v>9</v>
      </c>
      <c r="D9">
        <v>871502</v>
      </c>
      <c r="E9" t="s">
        <v>9</v>
      </c>
      <c r="F9">
        <v>1.22</v>
      </c>
      <c r="G9">
        <v>45769.478470000002</v>
      </c>
      <c r="H9">
        <v>30</v>
      </c>
      <c r="I9" t="s">
        <v>44</v>
      </c>
    </row>
    <row r="10" spans="1:9" x14ac:dyDescent="0.25">
      <c r="A10" t="s">
        <v>24</v>
      </c>
      <c r="B10">
        <v>58.7</v>
      </c>
      <c r="C10" t="s">
        <v>25</v>
      </c>
      <c r="D10">
        <v>920384</v>
      </c>
      <c r="E10" t="s">
        <v>22</v>
      </c>
      <c r="F10">
        <v>1.1000000000000001</v>
      </c>
      <c r="G10">
        <v>45807.959719999999</v>
      </c>
      <c r="H10">
        <v>37</v>
      </c>
      <c r="I10" t="s">
        <v>44</v>
      </c>
    </row>
    <row r="11" spans="1:9" x14ac:dyDescent="0.25">
      <c r="A11" t="s">
        <v>18</v>
      </c>
      <c r="B11">
        <v>110.6</v>
      </c>
      <c r="C11" t="s">
        <v>19</v>
      </c>
      <c r="D11">
        <v>158762</v>
      </c>
      <c r="E11" t="s">
        <v>22</v>
      </c>
      <c r="F11">
        <v>1.9</v>
      </c>
      <c r="G11">
        <v>45815.704859999998</v>
      </c>
      <c r="H11">
        <v>25</v>
      </c>
      <c r="I11" t="s">
        <v>44</v>
      </c>
    </row>
    <row r="12" spans="1:9" x14ac:dyDescent="0.25">
      <c r="A12" t="s">
        <v>6</v>
      </c>
      <c r="B12">
        <v>64.8</v>
      </c>
      <c r="C12" t="s">
        <v>5</v>
      </c>
      <c r="D12">
        <v>703945</v>
      </c>
      <c r="E12" t="s">
        <v>22</v>
      </c>
      <c r="F12">
        <v>1.46</v>
      </c>
      <c r="G12">
        <v>45829.111810000002</v>
      </c>
      <c r="H12">
        <v>36</v>
      </c>
      <c r="I12" t="s">
        <v>45</v>
      </c>
    </row>
    <row r="13" spans="1:9" x14ac:dyDescent="0.25">
      <c r="A13" t="s">
        <v>3</v>
      </c>
      <c r="B13">
        <v>109.9</v>
      </c>
      <c r="C13" t="s">
        <v>5</v>
      </c>
      <c r="D13">
        <v>284619</v>
      </c>
      <c r="E13" t="s">
        <v>22</v>
      </c>
      <c r="F13">
        <v>1.83</v>
      </c>
      <c r="G13">
        <v>45853.845829999998</v>
      </c>
      <c r="H13">
        <v>39</v>
      </c>
      <c r="I13" t="s">
        <v>44</v>
      </c>
    </row>
    <row r="14" spans="1:9" x14ac:dyDescent="0.25">
      <c r="A14" t="s">
        <v>10</v>
      </c>
      <c r="B14">
        <v>96.2</v>
      </c>
      <c r="C14" t="s">
        <v>11</v>
      </c>
      <c r="D14">
        <v>536870</v>
      </c>
      <c r="E14" t="s">
        <v>22</v>
      </c>
      <c r="F14">
        <v>1.55</v>
      </c>
      <c r="G14">
        <v>45866.42153</v>
      </c>
      <c r="H14">
        <v>36</v>
      </c>
      <c r="I14" t="s">
        <v>44</v>
      </c>
    </row>
    <row r="15" spans="1:9" x14ac:dyDescent="0.25">
      <c r="A15" t="s">
        <v>12</v>
      </c>
      <c r="B15">
        <v>59.3</v>
      </c>
      <c r="C15" t="s">
        <v>11</v>
      </c>
      <c r="D15">
        <v>419287</v>
      </c>
      <c r="E15" t="s">
        <v>22</v>
      </c>
      <c r="F15">
        <v>1.6</v>
      </c>
      <c r="G15">
        <v>45878.772920000003</v>
      </c>
      <c r="H15">
        <v>32</v>
      </c>
      <c r="I15" t="s">
        <v>45</v>
      </c>
    </row>
    <row r="16" spans="1:9" x14ac:dyDescent="0.25">
      <c r="A16" t="s">
        <v>15</v>
      </c>
      <c r="B16">
        <v>55.4</v>
      </c>
      <c r="C16" t="s">
        <v>14</v>
      </c>
      <c r="D16">
        <v>672430</v>
      </c>
      <c r="E16" t="s">
        <v>22</v>
      </c>
      <c r="F16">
        <v>1.58</v>
      </c>
      <c r="G16">
        <v>45892.226390000003</v>
      </c>
      <c r="H16">
        <v>32</v>
      </c>
      <c r="I16" t="s">
        <v>45</v>
      </c>
    </row>
    <row r="17" spans="1:9" x14ac:dyDescent="0.25">
      <c r="A17" t="s">
        <v>13</v>
      </c>
      <c r="B17">
        <v>88.1</v>
      </c>
      <c r="C17" t="s">
        <v>14</v>
      </c>
      <c r="D17">
        <v>857169</v>
      </c>
      <c r="E17" t="s">
        <v>22</v>
      </c>
      <c r="F17">
        <v>1.4</v>
      </c>
      <c r="G17">
        <v>45905.590969999997</v>
      </c>
      <c r="H17">
        <v>36</v>
      </c>
      <c r="I17" t="s">
        <v>44</v>
      </c>
    </row>
    <row r="18" spans="1:9" x14ac:dyDescent="0.25">
      <c r="A18" t="s">
        <v>20</v>
      </c>
      <c r="B18">
        <v>62</v>
      </c>
      <c r="C18" t="s">
        <v>21</v>
      </c>
      <c r="D18">
        <v>390528</v>
      </c>
      <c r="E18" t="s">
        <v>23</v>
      </c>
      <c r="F18">
        <v>1.75</v>
      </c>
      <c r="G18">
        <v>45919.949310000004</v>
      </c>
      <c r="H18">
        <v>24</v>
      </c>
      <c r="I18" t="s">
        <v>44</v>
      </c>
    </row>
    <row r="19" spans="1:9" x14ac:dyDescent="0.25">
      <c r="A19" t="s">
        <v>30</v>
      </c>
      <c r="B19">
        <v>61.3</v>
      </c>
      <c r="C19" t="s">
        <v>29</v>
      </c>
      <c r="D19">
        <v>261794</v>
      </c>
      <c r="E19" t="s">
        <v>22</v>
      </c>
      <c r="F19">
        <v>1.65</v>
      </c>
      <c r="G19">
        <v>45942.400000000001</v>
      </c>
      <c r="H19">
        <v>43</v>
      </c>
      <c r="I19" t="s">
        <v>45</v>
      </c>
    </row>
    <row r="20" spans="1:9" x14ac:dyDescent="0.25">
      <c r="A20" t="s">
        <v>28</v>
      </c>
      <c r="B20">
        <v>85.6</v>
      </c>
      <c r="C20" t="s">
        <v>29</v>
      </c>
      <c r="D20">
        <v>498613</v>
      </c>
      <c r="E20" t="s">
        <v>22</v>
      </c>
      <c r="F20">
        <v>1.78</v>
      </c>
      <c r="G20">
        <v>45957.165970000002</v>
      </c>
      <c r="H20">
        <v>45</v>
      </c>
      <c r="I20" t="s">
        <v>44</v>
      </c>
    </row>
    <row r="21" spans="1:9" x14ac:dyDescent="0.25">
      <c r="A21" t="s">
        <v>31</v>
      </c>
      <c r="B21">
        <v>60.6</v>
      </c>
      <c r="C21" t="s">
        <v>32</v>
      </c>
      <c r="D21">
        <v>735902</v>
      </c>
      <c r="E21" t="s">
        <v>34</v>
      </c>
      <c r="F21">
        <v>1.7</v>
      </c>
      <c r="G21">
        <v>45975.725689999999</v>
      </c>
      <c r="H21">
        <v>38</v>
      </c>
      <c r="I21" t="s">
        <v>45</v>
      </c>
    </row>
    <row r="22" spans="1:9" x14ac:dyDescent="0.25">
      <c r="A22" t="s">
        <v>33</v>
      </c>
      <c r="B22">
        <v>157.80000000000001</v>
      </c>
      <c r="C22" t="s">
        <v>32</v>
      </c>
      <c r="D22">
        <v>184675</v>
      </c>
      <c r="E22" t="s">
        <v>26</v>
      </c>
      <c r="F22">
        <v>1.9</v>
      </c>
      <c r="G22">
        <v>45994.505559999998</v>
      </c>
      <c r="H22">
        <v>38</v>
      </c>
      <c r="I22" t="s">
        <v>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B9DD-8844-4789-AF5A-7CDD085E086B}">
  <sheetPr>
    <tabColor theme="2" tint="-0.249977111117893"/>
  </sheetPr>
  <dimension ref="A1:Q17"/>
  <sheetViews>
    <sheetView tabSelected="1" zoomScale="90" zoomScaleNormal="90" workbookViewId="0"/>
  </sheetViews>
  <sheetFormatPr defaultRowHeight="15" x14ac:dyDescent="0.25"/>
  <cols>
    <col min="1" max="1" width="7.7109375" bestFit="1" customWidth="1"/>
    <col min="2" max="2" width="13.140625" bestFit="1" customWidth="1"/>
    <col min="3" max="3" width="12.85546875" bestFit="1" customWidth="1"/>
    <col min="4" max="4" width="10.140625" bestFit="1" customWidth="1"/>
    <col min="5" max="5" width="10.42578125" bestFit="1" customWidth="1"/>
    <col min="6" max="6" width="12.28515625" style="3" bestFit="1" customWidth="1"/>
    <col min="7" max="7" width="14" bestFit="1" customWidth="1"/>
    <col min="8" max="8" width="19.5703125" bestFit="1" customWidth="1"/>
    <col min="9" max="9" width="12.85546875" style="3" bestFit="1" customWidth="1"/>
    <col min="10" max="10" width="7" bestFit="1" customWidth="1"/>
    <col min="11" max="11" width="15.28515625" bestFit="1" customWidth="1"/>
    <col min="12" max="12" width="7" bestFit="1" customWidth="1"/>
    <col min="13" max="13" width="15.28515625" bestFit="1" customWidth="1"/>
    <col min="14" max="14" width="20.7109375" bestFit="1" customWidth="1"/>
    <col min="15" max="15" width="20.28515625" bestFit="1" customWidth="1"/>
    <col min="16" max="16" width="14.5703125" bestFit="1" customWidth="1"/>
    <col min="17" max="17" width="44.5703125" style="3" bestFit="1" customWidth="1"/>
    <col min="18" max="18" width="15.140625" bestFit="1" customWidth="1"/>
  </cols>
  <sheetData>
    <row r="1" spans="1:17" x14ac:dyDescent="0.25">
      <c r="A1" t="s">
        <v>36</v>
      </c>
      <c r="B1" t="s">
        <v>16</v>
      </c>
      <c r="C1" t="s">
        <v>17</v>
      </c>
      <c r="D1" t="s">
        <v>43</v>
      </c>
      <c r="E1" t="s">
        <v>47</v>
      </c>
      <c r="F1" s="3" t="s">
        <v>46</v>
      </c>
      <c r="G1" s="3" t="s">
        <v>40</v>
      </c>
      <c r="H1" t="s">
        <v>55</v>
      </c>
      <c r="I1" t="s">
        <v>35</v>
      </c>
      <c r="J1" t="s">
        <v>27</v>
      </c>
      <c r="K1" t="s">
        <v>37</v>
      </c>
      <c r="L1" t="s">
        <v>38</v>
      </c>
      <c r="M1" t="s">
        <v>39</v>
      </c>
      <c r="N1" s="3" t="s">
        <v>54</v>
      </c>
      <c r="O1" s="3" t="s">
        <v>51</v>
      </c>
      <c r="P1" s="3" t="s">
        <v>56</v>
      </c>
      <c r="Q1" s="3" t="s">
        <v>57</v>
      </c>
    </row>
    <row r="2" spans="1:17" x14ac:dyDescent="0.25">
      <c r="A2">
        <v>564720</v>
      </c>
      <c r="B2" t="s">
        <v>1</v>
      </c>
      <c r="C2" t="s">
        <v>2</v>
      </c>
      <c r="D2" t="s">
        <v>44</v>
      </c>
      <c r="E2" t="s">
        <v>26</v>
      </c>
      <c r="F2" s="3" t="str">
        <f>_xlfn.XLOOKUP(WeightLossGroup_Dataset[[#This Row],[Identity]],'Identity Index'!A:A,'Identity Index'!B:B)</f>
        <v>Animal</v>
      </c>
      <c r="G2" s="3" t="str" cm="1">
        <f t="array" ref="G2">_xlfn.IFS(AND(WeightLossGroup_Dataset[[#This Row],[Age]]&gt;=18, WeightLossGroup_Dataset[[#This Row],[Age]]&lt;25), "18-24", AND(WeightLossGroup_Dataset[[#This Row],[Age]]&gt;=25, WeightLossGroup_Dataset[[#This Row],[Age]]&lt;35), "25-34", AND(WeightLossGroup_Dataset[[#This Row],[Age]]&gt;=35, WeightLossGroup_Dataset[[#This Row],[Age]]&lt;44), "35-44", AND(WeightLossGroup_Dataset[[#This Row],[Age]]&gt;=45, WeightLossGroup_Dataset[[#This Row],[Age]]&lt;55), "45-54")</f>
        <v>25-34</v>
      </c>
      <c r="H2">
        <v>26.7</v>
      </c>
      <c r="I2">
        <v>0.99</v>
      </c>
      <c r="J2">
        <v>28</v>
      </c>
      <c r="K2" s="1">
        <v>45745</v>
      </c>
      <c r="L2" s="2">
        <v>27.242118151209059</v>
      </c>
      <c r="M2" t="s">
        <v>52</v>
      </c>
      <c r="N2" s="5" t="str" cm="1">
        <f t="array" ref="N2">_xlfn.IFS(WeightLossGroup_Dataset[[#This Row],[BMI Category]]="Underweight", "Dismiss client", WeightLossGroup_Dataset[[#This Row],[BMI Category]]= "Average", "2.5% weight loss", WeightLossGroup_Dataset[[#This Row],[BMI Category]]= "Overweight", "5% weight loss")</f>
        <v>2.5% weight loss</v>
      </c>
      <c r="O2" s="5" cm="1">
        <f t="array" ref="O2">_xlfn.IFS(WeightLossGroup_Dataset[[#This Row],[Weight Loss Advice]]="2.5% weight loss", WeightLossGroup_Dataset[[#This Row],[Initial Weight (kg)]]*0.975, WeightLossGroup_Dataset[[#This Row],[Weight Loss Advice]]="5% weight loss", WeightLossGroup_Dataset[[#This Row],[Initial Weight (kg)]]*0.95)</f>
        <v>26.032499999999999</v>
      </c>
      <c r="P2" s="5">
        <f>_xlfn.XLOOKUP(WeightLossGroup_Dataset[[#This Row],[ID]],'Programme Outcomes'!A:A,'Programme Outcomes'!B:B)</f>
        <v>26.5</v>
      </c>
      <c r="Q2" s="3" t="str" cm="1">
        <f t="array" ref="Q2">_xlfn.IFS(WeightLossGroup_Dataset[[#This Row],[Final Weight]]&lt;=WeightLossGroup_Dataset[[#This Row],[Weight Loss Target]], "Weight loss target met", AND(WeightLossGroup_Dataset[[#This Row],[Final Weight]]&gt;WeightLossGroup_Dataset[[#This Row],[Weight Loss Target]], WeightLossGroup_Dataset[[#This Row],[Final Weight]]&lt;WeightLossGroup_Dataset[[#This Row],[Initial Weight (kg)]]), "Weight loss target not met but some weight lost", WeightLossGroup_Dataset[[#This Row],[Final Weight]]&gt;WeightLossGroup_Dataset[[#This Row],[Initial Weight (kg)]], "Weight gained", WeightLossGroup_Dataset[[#This Row],[Final Weight]]=WeightLossGroup_Dataset[[#This Row],[Initial Weight (kg)]], "No weight change")</f>
        <v>Weight loss target not met but some weight lost</v>
      </c>
    </row>
    <row r="3" spans="1:17" x14ac:dyDescent="0.25">
      <c r="A3">
        <v>319846</v>
      </c>
      <c r="B3" t="s">
        <v>7</v>
      </c>
      <c r="C3" t="s">
        <v>4</v>
      </c>
      <c r="D3" t="s">
        <v>44</v>
      </c>
      <c r="E3" t="s">
        <v>4</v>
      </c>
      <c r="F3" s="3" t="str">
        <f>_xlfn.XLOOKUP(WeightLossGroup_Dataset[[#This Row],[Identity]],'Identity Index'!A:A,'Identity Index'!B:B)</f>
        <v>Animal</v>
      </c>
      <c r="G3" s="3" t="str" cm="1">
        <f t="array" ref="G3">_xlfn.IFS(AND(WeightLossGroup_Dataset[[#This Row],[Age]]&gt;=18, WeightLossGroup_Dataset[[#This Row],[Age]]&lt;25), "18-24", AND(WeightLossGroup_Dataset[[#This Row],[Age]]&gt;=25, WeightLossGroup_Dataset[[#This Row],[Age]]&lt;35), "25-34", AND(WeightLossGroup_Dataset[[#This Row],[Age]]&gt;=35, WeightLossGroup_Dataset[[#This Row],[Age]]&lt;44), "35-44", AND(WeightLossGroup_Dataset[[#This Row],[Age]]&gt;=45, WeightLossGroup_Dataset[[#This Row],[Age]]&lt;55), "45-54")</f>
        <v>25-34</v>
      </c>
      <c r="H3">
        <v>29.5</v>
      </c>
      <c r="I3">
        <v>1</v>
      </c>
      <c r="J3">
        <v>27</v>
      </c>
      <c r="K3" s="1">
        <v>45755</v>
      </c>
      <c r="L3" s="2">
        <v>29.5</v>
      </c>
      <c r="M3" t="s">
        <v>52</v>
      </c>
      <c r="N3" s="5" t="str" cm="1">
        <f t="array" ref="N3">_xlfn.IFS(WeightLossGroup_Dataset[[#This Row],[BMI Category]]="Underweight", "Dismiss client", WeightLossGroup_Dataset[[#This Row],[BMI Category]]= "Average", "2.5% weight loss", WeightLossGroup_Dataset[[#This Row],[BMI Category]]= "Overweight", "5% weight loss")</f>
        <v>2.5% weight loss</v>
      </c>
      <c r="O3" s="5" cm="1">
        <f t="array" ref="O3">_xlfn.IFS(WeightLossGroup_Dataset[[#This Row],[Weight Loss Advice]]="2.5% weight loss", WeightLossGroup_Dataset[[#This Row],[Initial Weight (kg)]]*0.975, WeightLossGroup_Dataset[[#This Row],[Weight Loss Advice]]="5% weight loss", WeightLossGroup_Dataset[[#This Row],[Initial Weight (kg)]]*0.95)</f>
        <v>28.762499999999999</v>
      </c>
      <c r="P3" s="5">
        <f>_xlfn.XLOOKUP(WeightLossGroup_Dataset[[#This Row],[ID]],'Programme Outcomes'!A:A,'Programme Outcomes'!B:B)</f>
        <v>32</v>
      </c>
      <c r="Q3" s="3" t="str" cm="1">
        <f t="array" ref="Q3">_xlfn.IFS(WeightLossGroup_Dataset[[#This Row],[Final Weight]]&lt;=WeightLossGroup_Dataset[[#This Row],[Weight Loss Target]], "Weight loss target met", AND(WeightLossGroup_Dataset[[#This Row],[Final Weight]]&gt;WeightLossGroup_Dataset[[#This Row],[Weight Loss Target]], WeightLossGroup_Dataset[[#This Row],[Final Weight]]&lt;WeightLossGroup_Dataset[[#This Row],[Initial Weight (kg)]]), "Weight loss target not met but some weight lost", WeightLossGroup_Dataset[[#This Row],[Final Weight]]&gt;WeightLossGroup_Dataset[[#This Row],[Initial Weight (kg)]], "Weight gained", WeightLossGroup_Dataset[[#This Row],[Final Weight]]=WeightLossGroup_Dataset[[#This Row],[Initial Weight (kg)]], "No weight change")</f>
        <v>Weight gained</v>
      </c>
    </row>
    <row r="4" spans="1:17" x14ac:dyDescent="0.25">
      <c r="A4">
        <v>871502</v>
      </c>
      <c r="B4" t="s">
        <v>8</v>
      </c>
      <c r="C4" t="s">
        <v>9</v>
      </c>
      <c r="D4" t="s">
        <v>44</v>
      </c>
      <c r="E4" t="s">
        <v>9</v>
      </c>
      <c r="F4" s="3" t="str">
        <f>_xlfn.XLOOKUP(WeightLossGroup_Dataset[[#This Row],[Identity]],'Identity Index'!A:A,'Identity Index'!B:B)</f>
        <v>Animal</v>
      </c>
      <c r="G4" s="3" t="str" cm="1">
        <f t="array" ref="G4">_xlfn.IFS(AND(WeightLossGroup_Dataset[[#This Row],[Age]]&gt;=18, WeightLossGroup_Dataset[[#This Row],[Age]]&lt;25), "18-24", AND(WeightLossGroup_Dataset[[#This Row],[Age]]&gt;=25, WeightLossGroup_Dataset[[#This Row],[Age]]&lt;35), "25-34", AND(WeightLossGroup_Dataset[[#This Row],[Age]]&gt;=35, WeightLossGroup_Dataset[[#This Row],[Age]]&lt;44), "35-44", AND(WeightLossGroup_Dataset[[#This Row],[Age]]&gt;=45, WeightLossGroup_Dataset[[#This Row],[Age]]&lt;55), "45-54")</f>
        <v>25-34</v>
      </c>
      <c r="H4">
        <v>42.5</v>
      </c>
      <c r="I4">
        <v>1.22</v>
      </c>
      <c r="J4">
        <v>30</v>
      </c>
      <c r="K4" s="1">
        <v>45769</v>
      </c>
      <c r="L4" s="2">
        <v>28.554152109647944</v>
      </c>
      <c r="M4" t="s">
        <v>52</v>
      </c>
      <c r="N4" s="5" t="str" cm="1">
        <f t="array" ref="N4">_xlfn.IFS(WeightLossGroup_Dataset[[#This Row],[BMI Category]]="Underweight", "Dismiss client", WeightLossGroup_Dataset[[#This Row],[BMI Category]]= "Average", "2.5% weight loss", WeightLossGroup_Dataset[[#This Row],[BMI Category]]= "Overweight", "5% weight loss")</f>
        <v>2.5% weight loss</v>
      </c>
      <c r="O4" s="5" cm="1">
        <f t="array" ref="O4">_xlfn.IFS(WeightLossGroup_Dataset[[#This Row],[Weight Loss Advice]]="2.5% weight loss", WeightLossGroup_Dataset[[#This Row],[Initial Weight (kg)]]*0.975, WeightLossGroup_Dataset[[#This Row],[Weight Loss Advice]]="5% weight loss", WeightLossGroup_Dataset[[#This Row],[Initial Weight (kg)]]*0.95)</f>
        <v>41.4375</v>
      </c>
      <c r="P4" s="5">
        <f>_xlfn.XLOOKUP(WeightLossGroup_Dataset[[#This Row],[ID]],'Programme Outcomes'!A:A,'Programme Outcomes'!B:B)</f>
        <v>41.4</v>
      </c>
      <c r="Q4" s="3" t="str" cm="1">
        <f t="array" ref="Q4">_xlfn.IFS(WeightLossGroup_Dataset[[#This Row],[Final Weight]]&lt;=WeightLossGroup_Dataset[[#This Row],[Weight Loss Target]], "Weight loss target met", AND(WeightLossGroup_Dataset[[#This Row],[Final Weight]]&gt;WeightLossGroup_Dataset[[#This Row],[Weight Loss Target]], WeightLossGroup_Dataset[[#This Row],[Final Weight]]&lt;WeightLossGroup_Dataset[[#This Row],[Initial Weight (kg)]]), "Weight loss target not met but some weight lost", WeightLossGroup_Dataset[[#This Row],[Final Weight]]&gt;WeightLossGroup_Dataset[[#This Row],[Initial Weight (kg)]], "Weight gained", WeightLossGroup_Dataset[[#This Row],[Final Weight]]=WeightLossGroup_Dataset[[#This Row],[Initial Weight (kg)]], "No weight change")</f>
        <v>Weight loss target met</v>
      </c>
    </row>
    <row r="5" spans="1:17" x14ac:dyDescent="0.25">
      <c r="A5">
        <v>920384</v>
      </c>
      <c r="B5" t="s">
        <v>24</v>
      </c>
      <c r="C5" t="s">
        <v>25</v>
      </c>
      <c r="D5" t="s">
        <v>44</v>
      </c>
      <c r="E5" t="s">
        <v>22</v>
      </c>
      <c r="F5" s="3" t="str">
        <f>_xlfn.XLOOKUP(WeightLossGroup_Dataset[[#This Row],[Identity]],'Identity Index'!A:A,'Identity Index'!B:B)</f>
        <v>Human</v>
      </c>
      <c r="G5" s="3" t="str" cm="1">
        <f t="array" ref="G5">_xlfn.IFS(AND(WeightLossGroup_Dataset[[#This Row],[Age]]&gt;=18, WeightLossGroup_Dataset[[#This Row],[Age]]&lt;25), "18-24", AND(WeightLossGroup_Dataset[[#This Row],[Age]]&gt;=25, WeightLossGroup_Dataset[[#This Row],[Age]]&lt;35), "25-34", AND(WeightLossGroup_Dataset[[#This Row],[Age]]&gt;=35, WeightLossGroup_Dataset[[#This Row],[Age]]&lt;44), "35-44", AND(WeightLossGroup_Dataset[[#This Row],[Age]]&gt;=45, WeightLossGroup_Dataset[[#This Row],[Age]]&lt;55), "45-54")</f>
        <v>35-44</v>
      </c>
      <c r="H5">
        <v>58.7</v>
      </c>
      <c r="I5">
        <v>1.1000000000000001</v>
      </c>
      <c r="J5">
        <v>37</v>
      </c>
      <c r="K5" s="1">
        <v>45807</v>
      </c>
      <c r="L5" s="2">
        <v>48.512396694214871</v>
      </c>
      <c r="M5" t="s">
        <v>53</v>
      </c>
      <c r="N5" s="5" t="str" cm="1">
        <f t="array" ref="N5">_xlfn.IFS(WeightLossGroup_Dataset[[#This Row],[BMI Category]]="Underweight", "Dismiss client", WeightLossGroup_Dataset[[#This Row],[BMI Category]]= "Average", "2.5% weight loss", WeightLossGroup_Dataset[[#This Row],[BMI Category]]= "Overweight", "5% weight loss")</f>
        <v>5% weight loss</v>
      </c>
      <c r="O5" s="5" cm="1">
        <f t="array" ref="O5">_xlfn.IFS(WeightLossGroup_Dataset[[#This Row],[Weight Loss Advice]]="2.5% weight loss", WeightLossGroup_Dataset[[#This Row],[Initial Weight (kg)]]*0.975, WeightLossGroup_Dataset[[#This Row],[Weight Loss Advice]]="5% weight loss", WeightLossGroup_Dataset[[#This Row],[Initial Weight (kg)]]*0.95)</f>
        <v>55.765000000000001</v>
      </c>
      <c r="P5" s="5">
        <f>_xlfn.XLOOKUP(WeightLossGroup_Dataset[[#This Row],[ID]],'Programme Outcomes'!A:A,'Programme Outcomes'!B:B)</f>
        <v>55.6</v>
      </c>
      <c r="Q5" s="3" t="str" cm="1">
        <f t="array" ref="Q5">_xlfn.IFS(WeightLossGroup_Dataset[[#This Row],[Final Weight]]&lt;=WeightLossGroup_Dataset[[#This Row],[Weight Loss Target]], "Weight loss target met", AND(WeightLossGroup_Dataset[[#This Row],[Final Weight]]&gt;WeightLossGroup_Dataset[[#This Row],[Weight Loss Target]], WeightLossGroup_Dataset[[#This Row],[Final Weight]]&lt;WeightLossGroup_Dataset[[#This Row],[Initial Weight (kg)]]), "Weight loss target not met but some weight lost", WeightLossGroup_Dataset[[#This Row],[Final Weight]]&gt;WeightLossGroup_Dataset[[#This Row],[Initial Weight (kg)]], "Weight gained", WeightLossGroup_Dataset[[#This Row],[Final Weight]]=WeightLossGroup_Dataset[[#This Row],[Initial Weight (kg)]], "No weight change")</f>
        <v>Weight loss target met</v>
      </c>
    </row>
    <row r="6" spans="1:17" x14ac:dyDescent="0.25">
      <c r="A6">
        <v>158762</v>
      </c>
      <c r="B6" t="s">
        <v>18</v>
      </c>
      <c r="C6" t="s">
        <v>19</v>
      </c>
      <c r="D6" t="s">
        <v>44</v>
      </c>
      <c r="E6" t="s">
        <v>22</v>
      </c>
      <c r="F6" s="3" t="str">
        <f>_xlfn.XLOOKUP(WeightLossGroup_Dataset[[#This Row],[Identity]],'Identity Index'!A:A,'Identity Index'!B:B)</f>
        <v>Human</v>
      </c>
      <c r="G6" s="3" t="str" cm="1">
        <f t="array" ref="G6">_xlfn.IFS(AND(WeightLossGroup_Dataset[[#This Row],[Age]]&gt;=18, WeightLossGroup_Dataset[[#This Row],[Age]]&lt;25), "18-24", AND(WeightLossGroup_Dataset[[#This Row],[Age]]&gt;=25, WeightLossGroup_Dataset[[#This Row],[Age]]&lt;35), "25-34", AND(WeightLossGroup_Dataset[[#This Row],[Age]]&gt;=35, WeightLossGroup_Dataset[[#This Row],[Age]]&lt;44), "35-44", AND(WeightLossGroup_Dataset[[#This Row],[Age]]&gt;=45, WeightLossGroup_Dataset[[#This Row],[Age]]&lt;55), "45-54")</f>
        <v>25-34</v>
      </c>
      <c r="H6">
        <v>110.6</v>
      </c>
      <c r="I6">
        <v>1.9</v>
      </c>
      <c r="J6">
        <v>25</v>
      </c>
      <c r="K6" s="1">
        <v>45815</v>
      </c>
      <c r="L6" s="2">
        <v>30.637119113573405</v>
      </c>
      <c r="M6" t="s">
        <v>52</v>
      </c>
      <c r="N6" s="5" t="str" cm="1">
        <f t="array" ref="N6">_xlfn.IFS(WeightLossGroup_Dataset[[#This Row],[BMI Category]]="Underweight", "Dismiss client", WeightLossGroup_Dataset[[#This Row],[BMI Category]]= "Average", "2.5% weight loss", WeightLossGroup_Dataset[[#This Row],[BMI Category]]= "Overweight", "5% weight loss")</f>
        <v>2.5% weight loss</v>
      </c>
      <c r="O6" s="5" cm="1">
        <f t="array" ref="O6">_xlfn.IFS(WeightLossGroup_Dataset[[#This Row],[Weight Loss Advice]]="2.5% weight loss", WeightLossGroup_Dataset[[#This Row],[Initial Weight (kg)]]*0.975, WeightLossGroup_Dataset[[#This Row],[Weight Loss Advice]]="5% weight loss", WeightLossGroup_Dataset[[#This Row],[Initial Weight (kg)]]*0.95)</f>
        <v>107.83499999999999</v>
      </c>
      <c r="P6" s="5">
        <f>_xlfn.XLOOKUP(WeightLossGroup_Dataset[[#This Row],[ID]],'Programme Outcomes'!A:A,'Programme Outcomes'!B:B)</f>
        <v>106</v>
      </c>
      <c r="Q6" s="3" t="str" cm="1">
        <f t="array" ref="Q6">_xlfn.IFS(WeightLossGroup_Dataset[[#This Row],[Final Weight]]&lt;=WeightLossGroup_Dataset[[#This Row],[Weight Loss Target]], "Weight loss target met", AND(WeightLossGroup_Dataset[[#This Row],[Final Weight]]&gt;WeightLossGroup_Dataset[[#This Row],[Weight Loss Target]], WeightLossGroup_Dataset[[#This Row],[Final Weight]]&lt;WeightLossGroup_Dataset[[#This Row],[Initial Weight (kg)]]), "Weight loss target not met but some weight lost", WeightLossGroup_Dataset[[#This Row],[Final Weight]]&gt;WeightLossGroup_Dataset[[#This Row],[Initial Weight (kg)]], "Weight gained", WeightLossGroup_Dataset[[#This Row],[Final Weight]]=WeightLossGroup_Dataset[[#This Row],[Initial Weight (kg)]], "No weight change")</f>
        <v>Weight loss target met</v>
      </c>
    </row>
    <row r="7" spans="1:17" x14ac:dyDescent="0.25">
      <c r="A7">
        <v>703945</v>
      </c>
      <c r="B7" t="s">
        <v>6</v>
      </c>
      <c r="C7" t="s">
        <v>5</v>
      </c>
      <c r="D7" t="s">
        <v>45</v>
      </c>
      <c r="E7" t="s">
        <v>22</v>
      </c>
      <c r="F7" s="3" t="str">
        <f>_xlfn.XLOOKUP(WeightLossGroup_Dataset[[#This Row],[Identity]],'Identity Index'!A:A,'Identity Index'!B:B)</f>
        <v>Human</v>
      </c>
      <c r="G7" s="3" t="str" cm="1">
        <f t="array" ref="G7">_xlfn.IFS(AND(WeightLossGroup_Dataset[[#This Row],[Age]]&gt;=18, WeightLossGroup_Dataset[[#This Row],[Age]]&lt;25), "18-24", AND(WeightLossGroup_Dataset[[#This Row],[Age]]&gt;=25, WeightLossGroup_Dataset[[#This Row],[Age]]&lt;35), "25-34", AND(WeightLossGroup_Dataset[[#This Row],[Age]]&gt;=35, WeightLossGroup_Dataset[[#This Row],[Age]]&lt;44), "35-44", AND(WeightLossGroup_Dataset[[#This Row],[Age]]&gt;=45, WeightLossGroup_Dataset[[#This Row],[Age]]&lt;55), "45-54")</f>
        <v>35-44</v>
      </c>
      <c r="H7">
        <v>64.8</v>
      </c>
      <c r="I7">
        <v>1.46</v>
      </c>
      <c r="J7">
        <v>36</v>
      </c>
      <c r="K7" s="1">
        <v>45829</v>
      </c>
      <c r="L7" s="2">
        <v>30.399699756051795</v>
      </c>
      <c r="M7" t="s">
        <v>52</v>
      </c>
      <c r="N7" s="5" t="str" cm="1">
        <f t="array" ref="N7">_xlfn.IFS(WeightLossGroup_Dataset[[#This Row],[BMI Category]]="Underweight", "Dismiss client", WeightLossGroup_Dataset[[#This Row],[BMI Category]]= "Average", "2.5% weight loss", WeightLossGroup_Dataset[[#This Row],[BMI Category]]= "Overweight", "5% weight loss")</f>
        <v>2.5% weight loss</v>
      </c>
      <c r="O7" s="5" cm="1">
        <f t="array" ref="O7">_xlfn.IFS(WeightLossGroup_Dataset[[#This Row],[Weight Loss Advice]]="2.5% weight loss", WeightLossGroup_Dataset[[#This Row],[Initial Weight (kg)]]*0.975, WeightLossGroup_Dataset[[#This Row],[Weight Loss Advice]]="5% weight loss", WeightLossGroup_Dataset[[#This Row],[Initial Weight (kg)]]*0.95)</f>
        <v>63.179999999999993</v>
      </c>
      <c r="P7" s="5">
        <f>_xlfn.XLOOKUP(WeightLossGroup_Dataset[[#This Row],[ID]],'Programme Outcomes'!A:A,'Programme Outcomes'!B:B)</f>
        <v>63</v>
      </c>
      <c r="Q7" s="3" t="str" cm="1">
        <f t="array" ref="Q7">_xlfn.IFS(WeightLossGroup_Dataset[[#This Row],[Final Weight]]&lt;=WeightLossGroup_Dataset[[#This Row],[Weight Loss Target]], "Weight loss target met", AND(WeightLossGroup_Dataset[[#This Row],[Final Weight]]&gt;WeightLossGroup_Dataset[[#This Row],[Weight Loss Target]], WeightLossGroup_Dataset[[#This Row],[Final Weight]]&lt;WeightLossGroup_Dataset[[#This Row],[Initial Weight (kg)]]), "Weight loss target not met but some weight lost", WeightLossGroup_Dataset[[#This Row],[Final Weight]]&gt;WeightLossGroup_Dataset[[#This Row],[Initial Weight (kg)]], "Weight gained", WeightLossGroup_Dataset[[#This Row],[Final Weight]]=WeightLossGroup_Dataset[[#This Row],[Initial Weight (kg)]], "No weight change")</f>
        <v>Weight loss target met</v>
      </c>
    </row>
    <row r="8" spans="1:17" x14ac:dyDescent="0.25">
      <c r="A8">
        <v>284619</v>
      </c>
      <c r="B8" t="s">
        <v>3</v>
      </c>
      <c r="C8" t="s">
        <v>5</v>
      </c>
      <c r="D8" t="s">
        <v>44</v>
      </c>
      <c r="E8" t="s">
        <v>22</v>
      </c>
      <c r="F8" s="3" t="str">
        <f>_xlfn.XLOOKUP(WeightLossGroup_Dataset[[#This Row],[Identity]],'Identity Index'!A:A,'Identity Index'!B:B)</f>
        <v>Human</v>
      </c>
      <c r="G8" s="3" t="str" cm="1">
        <f t="array" ref="G8">_xlfn.IFS(AND(WeightLossGroup_Dataset[[#This Row],[Age]]&gt;=18, WeightLossGroup_Dataset[[#This Row],[Age]]&lt;25), "18-24", AND(WeightLossGroup_Dataset[[#This Row],[Age]]&gt;=25, WeightLossGroup_Dataset[[#This Row],[Age]]&lt;35), "25-34", AND(WeightLossGroup_Dataset[[#This Row],[Age]]&gt;=35, WeightLossGroup_Dataset[[#This Row],[Age]]&lt;44), "35-44", AND(WeightLossGroup_Dataset[[#This Row],[Age]]&gt;=45, WeightLossGroup_Dataset[[#This Row],[Age]]&lt;55), "45-54")</f>
        <v>35-44</v>
      </c>
      <c r="H8">
        <v>109.9</v>
      </c>
      <c r="I8">
        <v>1.83</v>
      </c>
      <c r="J8">
        <v>39</v>
      </c>
      <c r="K8" s="1">
        <v>45853</v>
      </c>
      <c r="L8" s="2">
        <v>32.81674579712741</v>
      </c>
      <c r="M8" t="s">
        <v>53</v>
      </c>
      <c r="N8" s="5" t="str" cm="1">
        <f t="array" ref="N8">_xlfn.IFS(WeightLossGroup_Dataset[[#This Row],[BMI Category]]="Underweight", "Dismiss client", WeightLossGroup_Dataset[[#This Row],[BMI Category]]= "Average", "2.5% weight loss", WeightLossGroup_Dataset[[#This Row],[BMI Category]]= "Overweight", "5% weight loss")</f>
        <v>5% weight loss</v>
      </c>
      <c r="O8" s="5" cm="1">
        <f t="array" ref="O8">_xlfn.IFS(WeightLossGroup_Dataset[[#This Row],[Weight Loss Advice]]="2.5% weight loss", WeightLossGroup_Dataset[[#This Row],[Initial Weight (kg)]]*0.975, WeightLossGroup_Dataset[[#This Row],[Weight Loss Advice]]="5% weight loss", WeightLossGroup_Dataset[[#This Row],[Initial Weight (kg)]]*0.95)</f>
        <v>104.405</v>
      </c>
      <c r="P8" s="5">
        <f>_xlfn.XLOOKUP(WeightLossGroup_Dataset[[#This Row],[ID]],'Programme Outcomes'!A:A,'Programme Outcomes'!B:B)</f>
        <v>105</v>
      </c>
      <c r="Q8" s="3" t="str" cm="1">
        <f t="array" ref="Q8">_xlfn.IFS(WeightLossGroup_Dataset[[#This Row],[Final Weight]]&lt;=WeightLossGroup_Dataset[[#This Row],[Weight Loss Target]], "Weight loss target met", AND(WeightLossGroup_Dataset[[#This Row],[Final Weight]]&gt;WeightLossGroup_Dataset[[#This Row],[Weight Loss Target]], WeightLossGroup_Dataset[[#This Row],[Final Weight]]&lt;WeightLossGroup_Dataset[[#This Row],[Initial Weight (kg)]]), "Weight loss target not met but some weight lost", WeightLossGroup_Dataset[[#This Row],[Final Weight]]&gt;WeightLossGroup_Dataset[[#This Row],[Initial Weight (kg)]], "Weight gained", WeightLossGroup_Dataset[[#This Row],[Final Weight]]=WeightLossGroup_Dataset[[#This Row],[Initial Weight (kg)]], "No weight change")</f>
        <v>Weight loss target not met but some weight lost</v>
      </c>
    </row>
    <row r="9" spans="1:17" x14ac:dyDescent="0.25">
      <c r="A9">
        <v>536870</v>
      </c>
      <c r="B9" t="s">
        <v>10</v>
      </c>
      <c r="C9" t="s">
        <v>11</v>
      </c>
      <c r="D9" t="s">
        <v>44</v>
      </c>
      <c r="E9" t="s">
        <v>22</v>
      </c>
      <c r="F9" s="3" t="str">
        <f>_xlfn.XLOOKUP(WeightLossGroup_Dataset[[#This Row],[Identity]],'Identity Index'!A:A,'Identity Index'!B:B)</f>
        <v>Human</v>
      </c>
      <c r="G9" s="3" t="str" cm="1">
        <f t="array" ref="G9">_xlfn.IFS(AND(WeightLossGroup_Dataset[[#This Row],[Age]]&gt;=18, WeightLossGroup_Dataset[[#This Row],[Age]]&lt;25), "18-24", AND(WeightLossGroup_Dataset[[#This Row],[Age]]&gt;=25, WeightLossGroup_Dataset[[#This Row],[Age]]&lt;35), "25-34", AND(WeightLossGroup_Dataset[[#This Row],[Age]]&gt;=35, WeightLossGroup_Dataset[[#This Row],[Age]]&lt;44), "35-44", AND(WeightLossGroup_Dataset[[#This Row],[Age]]&gt;=45, WeightLossGroup_Dataset[[#This Row],[Age]]&lt;55), "45-54")</f>
        <v>35-44</v>
      </c>
      <c r="H9">
        <v>96.2</v>
      </c>
      <c r="I9">
        <v>1.55</v>
      </c>
      <c r="J9">
        <v>36</v>
      </c>
      <c r="K9" s="1">
        <v>45866</v>
      </c>
      <c r="L9" s="2">
        <v>40.041623309053065</v>
      </c>
      <c r="M9" t="s">
        <v>53</v>
      </c>
      <c r="N9" s="5" t="str" cm="1">
        <f t="array" ref="N9">_xlfn.IFS(WeightLossGroup_Dataset[[#This Row],[BMI Category]]="Underweight", "Dismiss client", WeightLossGroup_Dataset[[#This Row],[BMI Category]]= "Average", "2.5% weight loss", WeightLossGroup_Dataset[[#This Row],[BMI Category]]= "Overweight", "5% weight loss")</f>
        <v>5% weight loss</v>
      </c>
      <c r="O9" s="5" cm="1">
        <f t="array" ref="O9">_xlfn.IFS(WeightLossGroup_Dataset[[#This Row],[Weight Loss Advice]]="2.5% weight loss", WeightLossGroup_Dataset[[#This Row],[Initial Weight (kg)]]*0.975, WeightLossGroup_Dataset[[#This Row],[Weight Loss Advice]]="5% weight loss", WeightLossGroup_Dataset[[#This Row],[Initial Weight (kg)]]*0.95)</f>
        <v>91.39</v>
      </c>
      <c r="P9" s="5">
        <f>_xlfn.XLOOKUP(WeightLossGroup_Dataset[[#This Row],[ID]],'Programme Outcomes'!A:A,'Programme Outcomes'!B:B)</f>
        <v>92</v>
      </c>
      <c r="Q9" s="3" t="str" cm="1">
        <f t="array" ref="Q9">_xlfn.IFS(WeightLossGroup_Dataset[[#This Row],[Final Weight]]&lt;=WeightLossGroup_Dataset[[#This Row],[Weight Loss Target]], "Weight loss target met", AND(WeightLossGroup_Dataset[[#This Row],[Final Weight]]&gt;WeightLossGroup_Dataset[[#This Row],[Weight Loss Target]], WeightLossGroup_Dataset[[#This Row],[Final Weight]]&lt;WeightLossGroup_Dataset[[#This Row],[Initial Weight (kg)]]), "Weight loss target not met but some weight lost", WeightLossGroup_Dataset[[#This Row],[Final Weight]]&gt;WeightLossGroup_Dataset[[#This Row],[Initial Weight (kg)]], "Weight gained", WeightLossGroup_Dataset[[#This Row],[Final Weight]]=WeightLossGroup_Dataset[[#This Row],[Initial Weight (kg)]], "No weight change")</f>
        <v>Weight loss target not met but some weight lost</v>
      </c>
    </row>
    <row r="10" spans="1:17" x14ac:dyDescent="0.25">
      <c r="A10">
        <v>419287</v>
      </c>
      <c r="B10" t="s">
        <v>12</v>
      </c>
      <c r="C10" t="s">
        <v>11</v>
      </c>
      <c r="D10" t="s">
        <v>45</v>
      </c>
      <c r="E10" t="s">
        <v>22</v>
      </c>
      <c r="F10" s="3" t="str">
        <f>_xlfn.XLOOKUP(WeightLossGroup_Dataset[[#This Row],[Identity]],'Identity Index'!A:A,'Identity Index'!B:B)</f>
        <v>Human</v>
      </c>
      <c r="G10" s="3" t="str" cm="1">
        <f t="array" ref="G10">_xlfn.IFS(AND(WeightLossGroup_Dataset[[#This Row],[Age]]&gt;=18, WeightLossGroup_Dataset[[#This Row],[Age]]&lt;25), "18-24", AND(WeightLossGroup_Dataset[[#This Row],[Age]]&gt;=25, WeightLossGroup_Dataset[[#This Row],[Age]]&lt;35), "25-34", AND(WeightLossGroup_Dataset[[#This Row],[Age]]&gt;=35, WeightLossGroup_Dataset[[#This Row],[Age]]&lt;44), "35-44", AND(WeightLossGroup_Dataset[[#This Row],[Age]]&gt;=45, WeightLossGroup_Dataset[[#This Row],[Age]]&lt;55), "45-54")</f>
        <v>25-34</v>
      </c>
      <c r="H10">
        <v>59.3</v>
      </c>
      <c r="I10">
        <v>1.6</v>
      </c>
      <c r="J10">
        <v>32</v>
      </c>
      <c r="K10" s="1">
        <v>45878</v>
      </c>
      <c r="L10" s="2">
        <v>23.164062499999993</v>
      </c>
      <c r="M10" t="s">
        <v>52</v>
      </c>
      <c r="N10" s="5" t="str" cm="1">
        <f t="array" ref="N10">_xlfn.IFS(WeightLossGroup_Dataset[[#This Row],[BMI Category]]="Underweight", "Dismiss client", WeightLossGroup_Dataset[[#This Row],[BMI Category]]= "Average", "2.5% weight loss", WeightLossGroup_Dataset[[#This Row],[BMI Category]]= "Overweight", "5% weight loss")</f>
        <v>2.5% weight loss</v>
      </c>
      <c r="O10" s="5" cm="1">
        <f t="array" ref="O10">_xlfn.IFS(WeightLossGroup_Dataset[[#This Row],[Weight Loss Advice]]="2.5% weight loss", WeightLossGroup_Dataset[[#This Row],[Initial Weight (kg)]]*0.975, WeightLossGroup_Dataset[[#This Row],[Weight Loss Advice]]="5% weight loss", WeightLossGroup_Dataset[[#This Row],[Initial Weight (kg)]]*0.95)</f>
        <v>57.817499999999995</v>
      </c>
      <c r="P10" s="5">
        <f>_xlfn.XLOOKUP(WeightLossGroup_Dataset[[#This Row],[ID]],'Programme Outcomes'!A:A,'Programme Outcomes'!B:B)</f>
        <v>59</v>
      </c>
      <c r="Q10" s="3" t="str" cm="1">
        <f t="array" ref="Q10">_xlfn.IFS(WeightLossGroup_Dataset[[#This Row],[Final Weight]]&lt;=WeightLossGroup_Dataset[[#This Row],[Weight Loss Target]], "Weight loss target met", AND(WeightLossGroup_Dataset[[#This Row],[Final Weight]]&gt;WeightLossGroup_Dataset[[#This Row],[Weight Loss Target]], WeightLossGroup_Dataset[[#This Row],[Final Weight]]&lt;WeightLossGroup_Dataset[[#This Row],[Initial Weight (kg)]]), "Weight loss target not met but some weight lost", WeightLossGroup_Dataset[[#This Row],[Final Weight]]&gt;WeightLossGroup_Dataset[[#This Row],[Initial Weight (kg)]], "Weight gained", WeightLossGroup_Dataset[[#This Row],[Final Weight]]=WeightLossGroup_Dataset[[#This Row],[Initial Weight (kg)]], "No weight change")</f>
        <v>Weight loss target not met but some weight lost</v>
      </c>
    </row>
    <row r="11" spans="1:17" x14ac:dyDescent="0.25">
      <c r="A11">
        <v>672430</v>
      </c>
      <c r="B11" t="s">
        <v>15</v>
      </c>
      <c r="C11" t="s">
        <v>14</v>
      </c>
      <c r="D11" t="s">
        <v>45</v>
      </c>
      <c r="E11" t="s">
        <v>22</v>
      </c>
      <c r="F11" s="3" t="str">
        <f>_xlfn.XLOOKUP(WeightLossGroup_Dataset[[#This Row],[Identity]],'Identity Index'!A:A,'Identity Index'!B:B)</f>
        <v>Human</v>
      </c>
      <c r="G11" s="3" t="str" cm="1">
        <f t="array" ref="G11">_xlfn.IFS(AND(WeightLossGroup_Dataset[[#This Row],[Age]]&gt;=18, WeightLossGroup_Dataset[[#This Row],[Age]]&lt;25), "18-24", AND(WeightLossGroup_Dataset[[#This Row],[Age]]&gt;=25, WeightLossGroup_Dataset[[#This Row],[Age]]&lt;35), "25-34", AND(WeightLossGroup_Dataset[[#This Row],[Age]]&gt;=35, WeightLossGroup_Dataset[[#This Row],[Age]]&lt;44), "35-44", AND(WeightLossGroup_Dataset[[#This Row],[Age]]&gt;=45, WeightLossGroup_Dataset[[#This Row],[Age]]&lt;55), "45-54")</f>
        <v>25-34</v>
      </c>
      <c r="H11">
        <v>55.4</v>
      </c>
      <c r="I11">
        <v>1.58</v>
      </c>
      <c r="J11">
        <v>32</v>
      </c>
      <c r="K11" s="1">
        <v>45892</v>
      </c>
      <c r="L11" s="2">
        <v>22.191956417240824</v>
      </c>
      <c r="M11" t="s">
        <v>52</v>
      </c>
      <c r="N11" s="5" t="str" cm="1">
        <f t="array" ref="N11">_xlfn.IFS(WeightLossGroup_Dataset[[#This Row],[BMI Category]]="Underweight", "Dismiss client", WeightLossGroup_Dataset[[#This Row],[BMI Category]]= "Average", "2.5% weight loss", WeightLossGroup_Dataset[[#This Row],[BMI Category]]= "Overweight", "5% weight loss")</f>
        <v>2.5% weight loss</v>
      </c>
      <c r="O11" s="5" cm="1">
        <f t="array" ref="O11">_xlfn.IFS(WeightLossGroup_Dataset[[#This Row],[Weight Loss Advice]]="2.5% weight loss", WeightLossGroup_Dataset[[#This Row],[Initial Weight (kg)]]*0.975, WeightLossGroup_Dataset[[#This Row],[Weight Loss Advice]]="5% weight loss", WeightLossGroup_Dataset[[#This Row],[Initial Weight (kg)]]*0.95)</f>
        <v>54.015000000000001</v>
      </c>
      <c r="P11" s="5">
        <f>_xlfn.XLOOKUP(WeightLossGroup_Dataset[[#This Row],[ID]],'Programme Outcomes'!A:A,'Programme Outcomes'!B:B)</f>
        <v>55</v>
      </c>
      <c r="Q11" s="3" t="str" cm="1">
        <f t="array" ref="Q11">_xlfn.IFS(WeightLossGroup_Dataset[[#This Row],[Final Weight]]&lt;=WeightLossGroup_Dataset[[#This Row],[Weight Loss Target]], "Weight loss target met", AND(WeightLossGroup_Dataset[[#This Row],[Final Weight]]&gt;WeightLossGroup_Dataset[[#This Row],[Weight Loss Target]], WeightLossGroup_Dataset[[#This Row],[Final Weight]]&lt;WeightLossGroup_Dataset[[#This Row],[Initial Weight (kg)]]), "Weight loss target not met but some weight lost", WeightLossGroup_Dataset[[#This Row],[Final Weight]]&gt;WeightLossGroup_Dataset[[#This Row],[Initial Weight (kg)]], "Weight gained", WeightLossGroup_Dataset[[#This Row],[Final Weight]]=WeightLossGroup_Dataset[[#This Row],[Initial Weight (kg)]], "No weight change")</f>
        <v>Weight loss target not met but some weight lost</v>
      </c>
    </row>
    <row r="12" spans="1:17" x14ac:dyDescent="0.25">
      <c r="A12">
        <v>857169</v>
      </c>
      <c r="B12" t="s">
        <v>13</v>
      </c>
      <c r="C12" t="s">
        <v>14</v>
      </c>
      <c r="D12" t="s">
        <v>44</v>
      </c>
      <c r="E12" t="s">
        <v>22</v>
      </c>
      <c r="F12" s="3" t="str">
        <f>_xlfn.XLOOKUP(WeightLossGroup_Dataset[[#This Row],[Identity]],'Identity Index'!A:A,'Identity Index'!B:B)</f>
        <v>Human</v>
      </c>
      <c r="G12" s="3" t="str" cm="1">
        <f t="array" ref="G12">_xlfn.IFS(AND(WeightLossGroup_Dataset[[#This Row],[Age]]&gt;=18, WeightLossGroup_Dataset[[#This Row],[Age]]&lt;25), "18-24", AND(WeightLossGroup_Dataset[[#This Row],[Age]]&gt;=25, WeightLossGroup_Dataset[[#This Row],[Age]]&lt;35), "25-34", AND(WeightLossGroup_Dataset[[#This Row],[Age]]&gt;=35, WeightLossGroup_Dataset[[#This Row],[Age]]&lt;44), "35-44", AND(WeightLossGroup_Dataset[[#This Row],[Age]]&gt;=45, WeightLossGroup_Dataset[[#This Row],[Age]]&lt;55), "45-54")</f>
        <v>35-44</v>
      </c>
      <c r="H12">
        <v>88.1</v>
      </c>
      <c r="I12">
        <v>1.4</v>
      </c>
      <c r="J12">
        <v>36</v>
      </c>
      <c r="K12" s="1">
        <v>45905</v>
      </c>
      <c r="L12" s="2">
        <v>44.948979591836739</v>
      </c>
      <c r="M12" t="s">
        <v>53</v>
      </c>
      <c r="N12" s="5" t="str" cm="1">
        <f t="array" ref="N12">_xlfn.IFS(WeightLossGroup_Dataset[[#This Row],[BMI Category]]="Underweight", "Dismiss client", WeightLossGroup_Dataset[[#This Row],[BMI Category]]= "Average", "2.5% weight loss", WeightLossGroup_Dataset[[#This Row],[BMI Category]]= "Overweight", "5% weight loss")</f>
        <v>5% weight loss</v>
      </c>
      <c r="O12" s="5" cm="1">
        <f t="array" ref="O12">_xlfn.IFS(WeightLossGroup_Dataset[[#This Row],[Weight Loss Advice]]="2.5% weight loss", WeightLossGroup_Dataset[[#This Row],[Initial Weight (kg)]]*0.975, WeightLossGroup_Dataset[[#This Row],[Weight Loss Advice]]="5% weight loss", WeightLossGroup_Dataset[[#This Row],[Initial Weight (kg)]]*0.95)</f>
        <v>83.694999999999993</v>
      </c>
      <c r="P12" s="5">
        <f>_xlfn.XLOOKUP(WeightLossGroup_Dataset[[#This Row],[ID]],'Programme Outcomes'!A:A,'Programme Outcomes'!B:B)</f>
        <v>81</v>
      </c>
      <c r="Q12" s="3" t="str" cm="1">
        <f t="array" ref="Q12">_xlfn.IFS(WeightLossGroup_Dataset[[#This Row],[Final Weight]]&lt;=WeightLossGroup_Dataset[[#This Row],[Weight Loss Target]], "Weight loss target met", AND(WeightLossGroup_Dataset[[#This Row],[Final Weight]]&gt;WeightLossGroup_Dataset[[#This Row],[Weight Loss Target]], WeightLossGroup_Dataset[[#This Row],[Final Weight]]&lt;WeightLossGroup_Dataset[[#This Row],[Initial Weight (kg)]]), "Weight loss target not met but some weight lost", WeightLossGroup_Dataset[[#This Row],[Final Weight]]&gt;WeightLossGroup_Dataset[[#This Row],[Initial Weight (kg)]], "Weight gained", WeightLossGroup_Dataset[[#This Row],[Final Weight]]=WeightLossGroup_Dataset[[#This Row],[Initial Weight (kg)]], "No weight change")</f>
        <v>Weight loss target met</v>
      </c>
    </row>
    <row r="13" spans="1:17" x14ac:dyDescent="0.25">
      <c r="A13">
        <v>390528</v>
      </c>
      <c r="B13" t="s">
        <v>20</v>
      </c>
      <c r="C13" t="s">
        <v>21</v>
      </c>
      <c r="D13" t="s">
        <v>44</v>
      </c>
      <c r="E13" t="s">
        <v>23</v>
      </c>
      <c r="F13" s="3" t="str">
        <f>_xlfn.XLOOKUP(WeightLossGroup_Dataset[[#This Row],[Identity]],'Identity Index'!A:A,'Identity Index'!B:B)</f>
        <v>Superhuman</v>
      </c>
      <c r="G13" s="3" t="str" cm="1">
        <f t="array" ref="G13">_xlfn.IFS(AND(WeightLossGroup_Dataset[[#This Row],[Age]]&gt;=18, WeightLossGroup_Dataset[[#This Row],[Age]]&lt;25), "18-24", AND(WeightLossGroup_Dataset[[#This Row],[Age]]&gt;=25, WeightLossGroup_Dataset[[#This Row],[Age]]&lt;35), "25-34", AND(WeightLossGroup_Dataset[[#This Row],[Age]]&gt;=35, WeightLossGroup_Dataset[[#This Row],[Age]]&lt;44), "35-44", AND(WeightLossGroup_Dataset[[#This Row],[Age]]&gt;=45, WeightLossGroup_Dataset[[#This Row],[Age]]&lt;55), "45-54")</f>
        <v>18-24</v>
      </c>
      <c r="H13">
        <v>62</v>
      </c>
      <c r="I13">
        <v>1.75</v>
      </c>
      <c r="J13">
        <v>24</v>
      </c>
      <c r="K13" s="1">
        <v>45919</v>
      </c>
      <c r="L13" s="2">
        <v>20.244897959183675</v>
      </c>
      <c r="M13" t="s">
        <v>52</v>
      </c>
      <c r="N13" s="5" t="str" cm="1">
        <f t="array" ref="N13">_xlfn.IFS(WeightLossGroup_Dataset[[#This Row],[BMI Category]]="Underweight", "Dismiss client", WeightLossGroup_Dataset[[#This Row],[BMI Category]]= "Average", "2.5% weight loss", WeightLossGroup_Dataset[[#This Row],[BMI Category]]= "Overweight", "5% weight loss")</f>
        <v>2.5% weight loss</v>
      </c>
      <c r="O13" s="5" cm="1">
        <f t="array" ref="O13">_xlfn.IFS(WeightLossGroup_Dataset[[#This Row],[Weight Loss Advice]]="2.5% weight loss", WeightLossGroup_Dataset[[#This Row],[Initial Weight (kg)]]*0.975, WeightLossGroup_Dataset[[#This Row],[Weight Loss Advice]]="5% weight loss", WeightLossGroup_Dataset[[#This Row],[Initial Weight (kg)]]*0.95)</f>
        <v>60.449999999999996</v>
      </c>
      <c r="P13" s="5">
        <f>_xlfn.XLOOKUP(WeightLossGroup_Dataset[[#This Row],[ID]],'Programme Outcomes'!A:A,'Programme Outcomes'!B:B)</f>
        <v>65</v>
      </c>
      <c r="Q13" s="3" t="str" cm="1">
        <f t="array" ref="Q13">_xlfn.IFS(WeightLossGroup_Dataset[[#This Row],[Final Weight]]&lt;=WeightLossGroup_Dataset[[#This Row],[Weight Loss Target]], "Weight loss target met", AND(WeightLossGroup_Dataset[[#This Row],[Final Weight]]&gt;WeightLossGroup_Dataset[[#This Row],[Weight Loss Target]], WeightLossGroup_Dataset[[#This Row],[Final Weight]]&lt;WeightLossGroup_Dataset[[#This Row],[Initial Weight (kg)]]), "Weight loss target not met but some weight lost", WeightLossGroup_Dataset[[#This Row],[Final Weight]]&gt;WeightLossGroup_Dataset[[#This Row],[Initial Weight (kg)]], "Weight gained", WeightLossGroup_Dataset[[#This Row],[Final Weight]]=WeightLossGroup_Dataset[[#This Row],[Initial Weight (kg)]], "No weight change")</f>
        <v>Weight gained</v>
      </c>
    </row>
    <row r="14" spans="1:17" x14ac:dyDescent="0.25">
      <c r="A14">
        <v>261794</v>
      </c>
      <c r="B14" t="s">
        <v>30</v>
      </c>
      <c r="C14" t="s">
        <v>29</v>
      </c>
      <c r="D14" t="s">
        <v>45</v>
      </c>
      <c r="E14" t="s">
        <v>22</v>
      </c>
      <c r="F14" s="3" t="str">
        <f>_xlfn.XLOOKUP(WeightLossGroup_Dataset[[#This Row],[Identity]],'Identity Index'!A:A,'Identity Index'!B:B)</f>
        <v>Human</v>
      </c>
      <c r="G14" s="3" t="str" cm="1">
        <f t="array" ref="G14">_xlfn.IFS(AND(WeightLossGroup_Dataset[[#This Row],[Age]]&gt;=18, WeightLossGroup_Dataset[[#This Row],[Age]]&lt;25), "18-24", AND(WeightLossGroup_Dataset[[#This Row],[Age]]&gt;=25, WeightLossGroup_Dataset[[#This Row],[Age]]&lt;35), "25-34", AND(WeightLossGroup_Dataset[[#This Row],[Age]]&gt;=35, WeightLossGroup_Dataset[[#This Row],[Age]]&lt;44), "35-44", AND(WeightLossGroup_Dataset[[#This Row],[Age]]&gt;=45, WeightLossGroup_Dataset[[#This Row],[Age]]&lt;55), "45-54")</f>
        <v>35-44</v>
      </c>
      <c r="H14">
        <v>61.3</v>
      </c>
      <c r="I14">
        <v>1.65</v>
      </c>
      <c r="J14">
        <v>43</v>
      </c>
      <c r="K14" s="1">
        <v>45942</v>
      </c>
      <c r="L14" s="2">
        <v>22.516069788797061</v>
      </c>
      <c r="M14" t="s">
        <v>52</v>
      </c>
      <c r="N14" s="5" t="str" cm="1">
        <f t="array" ref="N14">_xlfn.IFS(WeightLossGroup_Dataset[[#This Row],[BMI Category]]="Underweight", "Dismiss client", WeightLossGroup_Dataset[[#This Row],[BMI Category]]= "Average", "2.5% weight loss", WeightLossGroup_Dataset[[#This Row],[BMI Category]]= "Overweight", "5% weight loss")</f>
        <v>2.5% weight loss</v>
      </c>
      <c r="O14" s="5" cm="1">
        <f t="array" ref="O14">_xlfn.IFS(WeightLossGroup_Dataset[[#This Row],[Weight Loss Advice]]="2.5% weight loss", WeightLossGroup_Dataset[[#This Row],[Initial Weight (kg)]]*0.975, WeightLossGroup_Dataset[[#This Row],[Weight Loss Advice]]="5% weight loss", WeightLossGroup_Dataset[[#This Row],[Initial Weight (kg)]]*0.95)</f>
        <v>59.767499999999998</v>
      </c>
      <c r="P14" s="5">
        <f>_xlfn.XLOOKUP(WeightLossGroup_Dataset[[#This Row],[ID]],'Programme Outcomes'!A:A,'Programme Outcomes'!B:B)</f>
        <v>61.3</v>
      </c>
      <c r="Q14" s="3" t="str" cm="1">
        <f t="array" ref="Q14">_xlfn.IFS(WeightLossGroup_Dataset[[#This Row],[Final Weight]]&lt;=WeightLossGroup_Dataset[[#This Row],[Weight Loss Target]], "Weight loss target met", AND(WeightLossGroup_Dataset[[#This Row],[Final Weight]]&gt;WeightLossGroup_Dataset[[#This Row],[Weight Loss Target]], WeightLossGroup_Dataset[[#This Row],[Final Weight]]&lt;WeightLossGroup_Dataset[[#This Row],[Initial Weight (kg)]]), "Weight loss target not met but some weight lost", WeightLossGroup_Dataset[[#This Row],[Final Weight]]&gt;WeightLossGroup_Dataset[[#This Row],[Initial Weight (kg)]], "Weight gained", WeightLossGroup_Dataset[[#This Row],[Final Weight]]=WeightLossGroup_Dataset[[#This Row],[Initial Weight (kg)]], "No weight change")</f>
        <v>No weight change</v>
      </c>
    </row>
    <row r="15" spans="1:17" x14ac:dyDescent="0.25">
      <c r="A15">
        <v>498613</v>
      </c>
      <c r="B15" t="s">
        <v>28</v>
      </c>
      <c r="C15" t="s">
        <v>29</v>
      </c>
      <c r="D15" t="s">
        <v>44</v>
      </c>
      <c r="E15" t="s">
        <v>22</v>
      </c>
      <c r="F15" s="3" t="str">
        <f>_xlfn.XLOOKUP(WeightLossGroup_Dataset[[#This Row],[Identity]],'Identity Index'!A:A,'Identity Index'!B:B)</f>
        <v>Human</v>
      </c>
      <c r="G15" s="3" t="str" cm="1">
        <f t="array" ref="G15">_xlfn.IFS(AND(WeightLossGroup_Dataset[[#This Row],[Age]]&gt;=18, WeightLossGroup_Dataset[[#This Row],[Age]]&lt;25), "18-24", AND(WeightLossGroup_Dataset[[#This Row],[Age]]&gt;=25, WeightLossGroup_Dataset[[#This Row],[Age]]&lt;35), "25-34", AND(WeightLossGroup_Dataset[[#This Row],[Age]]&gt;=35, WeightLossGroup_Dataset[[#This Row],[Age]]&lt;44), "35-44", AND(WeightLossGroup_Dataset[[#This Row],[Age]]&gt;=45, WeightLossGroup_Dataset[[#This Row],[Age]]&lt;55), "45-54")</f>
        <v>45-54</v>
      </c>
      <c r="H15">
        <v>85.6</v>
      </c>
      <c r="I15">
        <v>1.78</v>
      </c>
      <c r="J15">
        <v>45</v>
      </c>
      <c r="K15" s="1">
        <v>45957</v>
      </c>
      <c r="L15" s="2">
        <v>27.016790809241254</v>
      </c>
      <c r="M15" t="s">
        <v>52</v>
      </c>
      <c r="N15" s="5" t="str" cm="1">
        <f t="array" ref="N15">_xlfn.IFS(WeightLossGroup_Dataset[[#This Row],[BMI Category]]="Underweight", "Dismiss client", WeightLossGroup_Dataset[[#This Row],[BMI Category]]= "Average", "2.5% weight loss", WeightLossGroup_Dataset[[#This Row],[BMI Category]]= "Overweight", "5% weight loss")</f>
        <v>2.5% weight loss</v>
      </c>
      <c r="O15" s="5" cm="1">
        <f t="array" ref="O15">_xlfn.IFS(WeightLossGroup_Dataset[[#This Row],[Weight Loss Advice]]="2.5% weight loss", WeightLossGroup_Dataset[[#This Row],[Initial Weight (kg)]]*0.975, WeightLossGroup_Dataset[[#This Row],[Weight Loss Advice]]="5% weight loss", WeightLossGroup_Dataset[[#This Row],[Initial Weight (kg)]]*0.95)</f>
        <v>83.46</v>
      </c>
      <c r="P15" s="5">
        <f>_xlfn.XLOOKUP(WeightLossGroup_Dataset[[#This Row],[ID]],'Programme Outcomes'!A:A,'Programme Outcomes'!B:B)</f>
        <v>82</v>
      </c>
      <c r="Q15" s="3" t="str" cm="1">
        <f t="array" ref="Q15">_xlfn.IFS(WeightLossGroup_Dataset[[#This Row],[Final Weight]]&lt;=WeightLossGroup_Dataset[[#This Row],[Weight Loss Target]], "Weight loss target met", AND(WeightLossGroup_Dataset[[#This Row],[Final Weight]]&gt;WeightLossGroup_Dataset[[#This Row],[Weight Loss Target]], WeightLossGroup_Dataset[[#This Row],[Final Weight]]&lt;WeightLossGroup_Dataset[[#This Row],[Initial Weight (kg)]]), "Weight loss target not met but some weight lost", WeightLossGroup_Dataset[[#This Row],[Final Weight]]&gt;WeightLossGroup_Dataset[[#This Row],[Initial Weight (kg)]], "Weight gained", WeightLossGroup_Dataset[[#This Row],[Final Weight]]=WeightLossGroup_Dataset[[#This Row],[Initial Weight (kg)]], "No weight change")</f>
        <v>Weight loss target met</v>
      </c>
    </row>
    <row r="16" spans="1:17" x14ac:dyDescent="0.25">
      <c r="A16">
        <v>735902</v>
      </c>
      <c r="B16" t="s">
        <v>31</v>
      </c>
      <c r="C16" t="s">
        <v>32</v>
      </c>
      <c r="D16" t="s">
        <v>45</v>
      </c>
      <c r="E16" t="s">
        <v>34</v>
      </c>
      <c r="F16" s="3" t="str">
        <f>_xlfn.XLOOKUP(WeightLossGroup_Dataset[[#This Row],[Identity]],'Identity Index'!A:A,'Identity Index'!B:B)</f>
        <v>Animal</v>
      </c>
      <c r="G16" s="3" t="str" cm="1">
        <f t="array" ref="G16">_xlfn.IFS(AND(WeightLossGroup_Dataset[[#This Row],[Age]]&gt;=18, WeightLossGroup_Dataset[[#This Row],[Age]]&lt;25), "18-24", AND(WeightLossGroup_Dataset[[#This Row],[Age]]&gt;=25, WeightLossGroup_Dataset[[#This Row],[Age]]&lt;35), "25-34", AND(WeightLossGroup_Dataset[[#This Row],[Age]]&gt;=35, WeightLossGroup_Dataset[[#This Row],[Age]]&lt;44), "35-44", AND(WeightLossGroup_Dataset[[#This Row],[Age]]&gt;=45, WeightLossGroup_Dataset[[#This Row],[Age]]&lt;55), "45-54")</f>
        <v>35-44</v>
      </c>
      <c r="H16">
        <v>60.6</v>
      </c>
      <c r="I16">
        <v>1.7</v>
      </c>
      <c r="J16">
        <v>38</v>
      </c>
      <c r="K16" s="1">
        <v>45975</v>
      </c>
      <c r="L16" s="2">
        <v>20.968858131487892</v>
      </c>
      <c r="M16" t="s">
        <v>52</v>
      </c>
      <c r="N16" s="5" t="str" cm="1">
        <f t="array" ref="N16">_xlfn.IFS(WeightLossGroup_Dataset[[#This Row],[BMI Category]]="Underweight", "Dismiss client", WeightLossGroup_Dataset[[#This Row],[BMI Category]]= "Average", "2.5% weight loss", WeightLossGroup_Dataset[[#This Row],[BMI Category]]= "Overweight", "5% weight loss")</f>
        <v>2.5% weight loss</v>
      </c>
      <c r="O16" s="5" cm="1">
        <f t="array" ref="O16">_xlfn.IFS(WeightLossGroup_Dataset[[#This Row],[Weight Loss Advice]]="2.5% weight loss", WeightLossGroup_Dataset[[#This Row],[Initial Weight (kg)]]*0.975, WeightLossGroup_Dataset[[#This Row],[Weight Loss Advice]]="5% weight loss", WeightLossGroup_Dataset[[#This Row],[Initial Weight (kg)]]*0.95)</f>
        <v>59.085000000000001</v>
      </c>
      <c r="P16" s="5">
        <f>_xlfn.XLOOKUP(WeightLossGroup_Dataset[[#This Row],[ID]],'Programme Outcomes'!A:A,'Programme Outcomes'!B:B)</f>
        <v>60</v>
      </c>
      <c r="Q16" s="3" t="str" cm="1">
        <f t="array" ref="Q16">_xlfn.IFS(WeightLossGroup_Dataset[[#This Row],[Final Weight]]&lt;=WeightLossGroup_Dataset[[#This Row],[Weight Loss Target]], "Weight loss target met", AND(WeightLossGroup_Dataset[[#This Row],[Final Weight]]&gt;WeightLossGroup_Dataset[[#This Row],[Weight Loss Target]], WeightLossGroup_Dataset[[#This Row],[Final Weight]]&lt;WeightLossGroup_Dataset[[#This Row],[Initial Weight (kg)]]), "Weight loss target not met but some weight lost", WeightLossGroup_Dataset[[#This Row],[Final Weight]]&gt;WeightLossGroup_Dataset[[#This Row],[Initial Weight (kg)]], "Weight gained", WeightLossGroup_Dataset[[#This Row],[Final Weight]]=WeightLossGroup_Dataset[[#This Row],[Initial Weight (kg)]], "No weight change")</f>
        <v>Weight loss target not met but some weight lost</v>
      </c>
    </row>
    <row r="17" spans="1:17" x14ac:dyDescent="0.25">
      <c r="A17">
        <v>184675</v>
      </c>
      <c r="B17" t="s">
        <v>33</v>
      </c>
      <c r="C17" t="s">
        <v>32</v>
      </c>
      <c r="D17" t="s">
        <v>44</v>
      </c>
      <c r="E17" t="s">
        <v>26</v>
      </c>
      <c r="F17" s="3" t="str">
        <f>_xlfn.XLOOKUP(WeightLossGroup_Dataset[[#This Row],[Identity]],'Identity Index'!A:A,'Identity Index'!B:B)</f>
        <v>Animal</v>
      </c>
      <c r="G17" s="3" t="str" cm="1">
        <f t="array" ref="G17">_xlfn.IFS(AND(WeightLossGroup_Dataset[[#This Row],[Age]]&gt;=18, WeightLossGroup_Dataset[[#This Row],[Age]]&lt;25), "18-24", AND(WeightLossGroup_Dataset[[#This Row],[Age]]&gt;=25, WeightLossGroup_Dataset[[#This Row],[Age]]&lt;35), "25-34", AND(WeightLossGroup_Dataset[[#This Row],[Age]]&gt;=35, WeightLossGroup_Dataset[[#This Row],[Age]]&lt;44), "35-44", AND(WeightLossGroup_Dataset[[#This Row],[Age]]&gt;=45, WeightLossGroup_Dataset[[#This Row],[Age]]&lt;55), "45-54")</f>
        <v>35-44</v>
      </c>
      <c r="H17">
        <v>157.80000000000001</v>
      </c>
      <c r="I17">
        <v>1.9</v>
      </c>
      <c r="J17">
        <v>38</v>
      </c>
      <c r="K17" s="1">
        <v>45994</v>
      </c>
      <c r="L17" s="2">
        <v>43.711911357340725</v>
      </c>
      <c r="M17" t="s">
        <v>53</v>
      </c>
      <c r="N17" s="5" t="str" cm="1">
        <f t="array" ref="N17">_xlfn.IFS(WeightLossGroup_Dataset[[#This Row],[BMI Category]]="Underweight", "Dismiss client", WeightLossGroup_Dataset[[#This Row],[BMI Category]]= "Average", "2.5% weight loss", WeightLossGroup_Dataset[[#This Row],[BMI Category]]= "Overweight", "5% weight loss")</f>
        <v>5% weight loss</v>
      </c>
      <c r="O17" s="5" cm="1">
        <f t="array" ref="O17">_xlfn.IFS(WeightLossGroup_Dataset[[#This Row],[Weight Loss Advice]]="2.5% weight loss", WeightLossGroup_Dataset[[#This Row],[Initial Weight (kg)]]*0.975, WeightLossGroup_Dataset[[#This Row],[Weight Loss Advice]]="5% weight loss", WeightLossGroup_Dataset[[#This Row],[Initial Weight (kg)]]*0.95)</f>
        <v>149.91</v>
      </c>
      <c r="P17" s="5">
        <f>_xlfn.XLOOKUP(WeightLossGroup_Dataset[[#This Row],[ID]],'Programme Outcomes'!A:A,'Programme Outcomes'!B:B)</f>
        <v>136</v>
      </c>
      <c r="Q17" s="3" t="str" cm="1">
        <f t="array" ref="Q17">_xlfn.IFS(WeightLossGroup_Dataset[[#This Row],[Final Weight]]&lt;=WeightLossGroup_Dataset[[#This Row],[Weight Loss Target]], "Weight loss target met", AND(WeightLossGroup_Dataset[[#This Row],[Final Weight]]&gt;WeightLossGroup_Dataset[[#This Row],[Weight Loss Target]], WeightLossGroup_Dataset[[#This Row],[Final Weight]]&lt;WeightLossGroup_Dataset[[#This Row],[Initial Weight (kg)]]), "Weight loss target not met but some weight lost", WeightLossGroup_Dataset[[#This Row],[Final Weight]]&gt;WeightLossGroup_Dataset[[#This Row],[Initial Weight (kg)]], "Weight gained", WeightLossGroup_Dataset[[#This Row],[Final Weight]]=WeightLossGroup_Dataset[[#This Row],[Initial Weight (kg)]], "No weight change")</f>
        <v>Weight loss target met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7C64-2977-405B-B69C-7C0E824D9410}">
  <sheetPr>
    <tabColor theme="4" tint="0.59999389629810485"/>
  </sheetPr>
  <dimension ref="A1:B10"/>
  <sheetViews>
    <sheetView workbookViewId="0"/>
  </sheetViews>
  <sheetFormatPr defaultRowHeight="15" x14ac:dyDescent="0.25"/>
  <cols>
    <col min="1" max="1" width="44.5703125" bestFit="1" customWidth="1"/>
    <col min="2" max="2" width="18.28515625" bestFit="1" customWidth="1"/>
    <col min="3" max="3" width="4.140625" bestFit="1" customWidth="1"/>
    <col min="4" max="4" width="4.85546875" bestFit="1" customWidth="1"/>
    <col min="5" max="5" width="4" bestFit="1" customWidth="1"/>
    <col min="6" max="6" width="3.42578125" bestFit="1" customWidth="1"/>
    <col min="7" max="7" width="4.42578125" bestFit="1" customWidth="1"/>
    <col min="8" max="8" width="4.28515625" bestFit="1" customWidth="1"/>
    <col min="9" max="9" width="4" bestFit="1" customWidth="1"/>
    <col min="10" max="10" width="4.5703125" bestFit="1" customWidth="1"/>
    <col min="11" max="11" width="4.28515625" bestFit="1" customWidth="1"/>
    <col min="12" max="12" width="11.28515625" bestFit="1" customWidth="1"/>
    <col min="13" max="17" width="10.7109375" bestFit="1" customWidth="1"/>
    <col min="18" max="18" width="11.28515625" bestFit="1" customWidth="1"/>
    <col min="19" max="20" width="16.28515625" bestFit="1" customWidth="1"/>
    <col min="21" max="21" width="11.28515625" bestFit="1" customWidth="1"/>
  </cols>
  <sheetData>
    <row r="1" spans="1:2" x14ac:dyDescent="0.25">
      <c r="A1" s="4" t="s">
        <v>43</v>
      </c>
      <c r="B1" t="s" vm="1">
        <v>62</v>
      </c>
    </row>
    <row r="2" spans="1:2" x14ac:dyDescent="0.25">
      <c r="A2" s="4" t="s">
        <v>40</v>
      </c>
      <c r="B2" t="s" vm="2">
        <v>62</v>
      </c>
    </row>
    <row r="3" spans="1:2" x14ac:dyDescent="0.25">
      <c r="A3" s="4" t="s">
        <v>47</v>
      </c>
      <c r="B3" t="s" vm="3">
        <v>62</v>
      </c>
    </row>
    <row r="5" spans="1:2" x14ac:dyDescent="0.25">
      <c r="A5" s="4" t="s">
        <v>82</v>
      </c>
      <c r="B5" t="s">
        <v>50</v>
      </c>
    </row>
    <row r="6" spans="1:2" x14ac:dyDescent="0.25">
      <c r="A6" s="6" t="s">
        <v>58</v>
      </c>
      <c r="B6" s="7">
        <v>1</v>
      </c>
    </row>
    <row r="7" spans="1:2" x14ac:dyDescent="0.25">
      <c r="A7" s="6" t="s">
        <v>59</v>
      </c>
      <c r="B7" s="7">
        <v>2</v>
      </c>
    </row>
    <row r="8" spans="1:2" x14ac:dyDescent="0.25">
      <c r="A8" s="6" t="s">
        <v>60</v>
      </c>
      <c r="B8" s="7">
        <v>7</v>
      </c>
    </row>
    <row r="9" spans="1:2" x14ac:dyDescent="0.25">
      <c r="A9" s="6" t="s">
        <v>61</v>
      </c>
      <c r="B9" s="7">
        <v>6</v>
      </c>
    </row>
    <row r="10" spans="1:2" x14ac:dyDescent="0.25">
      <c r="A10" s="6" t="s">
        <v>49</v>
      </c>
      <c r="B10" s="7">
        <v>16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B2B-337D-47E4-8051-AC0AC40E0D90}">
  <sheetPr>
    <tabColor theme="4" tint="0.59999389629810485"/>
  </sheetPr>
  <dimension ref="A1:C8"/>
  <sheetViews>
    <sheetView workbookViewId="0"/>
  </sheetViews>
  <sheetFormatPr defaultRowHeight="15" x14ac:dyDescent="0.25"/>
  <cols>
    <col min="1" max="1" width="30.5703125" bestFit="1" customWidth="1"/>
    <col min="2" max="2" width="16.28515625" bestFit="1" customWidth="1"/>
    <col min="3" max="3" width="11.28515625" bestFit="1" customWidth="1"/>
    <col min="4" max="4" width="7.28515625" bestFit="1" customWidth="1"/>
    <col min="5" max="5" width="3.7109375" bestFit="1" customWidth="1"/>
    <col min="6" max="7" width="6.7109375" bestFit="1" customWidth="1"/>
    <col min="8" max="8" width="11.28515625" bestFit="1" customWidth="1"/>
    <col min="9" max="9" width="4" bestFit="1" customWidth="1"/>
    <col min="10" max="10" width="4.5703125" bestFit="1" customWidth="1"/>
    <col min="11" max="11" width="4.28515625" bestFit="1" customWidth="1"/>
    <col min="12" max="12" width="11.28515625" bestFit="1" customWidth="1"/>
    <col min="13" max="17" width="10.7109375" bestFit="1" customWidth="1"/>
    <col min="18" max="18" width="11.28515625" bestFit="1" customWidth="1"/>
    <col min="19" max="20" width="16.28515625" bestFit="1" customWidth="1"/>
    <col min="21" max="21" width="11.28515625" bestFit="1" customWidth="1"/>
  </cols>
  <sheetData>
    <row r="1" spans="1:3" x14ac:dyDescent="0.25">
      <c r="A1" s="4" t="s">
        <v>43</v>
      </c>
      <c r="B1" t="s" vm="1">
        <v>62</v>
      </c>
    </row>
    <row r="3" spans="1:3" x14ac:dyDescent="0.25">
      <c r="A3" s="4" t="s">
        <v>50</v>
      </c>
      <c r="B3" s="4" t="s">
        <v>48</v>
      </c>
    </row>
    <row r="4" spans="1:3" x14ac:dyDescent="0.25">
      <c r="A4" s="4" t="s">
        <v>83</v>
      </c>
      <c r="B4" t="s">
        <v>22</v>
      </c>
      <c r="C4" t="s">
        <v>49</v>
      </c>
    </row>
    <row r="5" spans="1:3" x14ac:dyDescent="0.25">
      <c r="A5" s="6" t="s">
        <v>63</v>
      </c>
      <c r="B5" s="7">
        <v>3</v>
      </c>
      <c r="C5" s="7">
        <v>3</v>
      </c>
    </row>
    <row r="6" spans="1:3" x14ac:dyDescent="0.25">
      <c r="A6" s="6" t="s">
        <v>64</v>
      </c>
      <c r="B6" s="7">
        <v>6</v>
      </c>
      <c r="C6" s="7">
        <v>6</v>
      </c>
    </row>
    <row r="7" spans="1:3" x14ac:dyDescent="0.25">
      <c r="A7" s="6" t="s">
        <v>65</v>
      </c>
      <c r="B7" s="7">
        <v>1</v>
      </c>
      <c r="C7" s="7">
        <v>1</v>
      </c>
    </row>
    <row r="8" spans="1:3" x14ac:dyDescent="0.25">
      <c r="A8" s="6" t="s">
        <v>49</v>
      </c>
      <c r="B8" s="7">
        <v>10</v>
      </c>
      <c r="C8" s="7">
        <v>10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CF2196-8565-4ABD-90A8-AC669B3E97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Identity Index</vt:lpstr>
      <vt:lpstr>Programme Outcomes</vt:lpstr>
      <vt:lpstr>Raw Dataset</vt:lpstr>
      <vt:lpstr>Linked Data</vt:lpstr>
      <vt:lpstr>Results Pivot</vt:lpstr>
      <vt:lpstr>Age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Godard</dc:creator>
  <cp:lastModifiedBy>Julien Godard</cp:lastModifiedBy>
  <dcterms:created xsi:type="dcterms:W3CDTF">2015-06-05T18:17:20Z</dcterms:created>
  <dcterms:modified xsi:type="dcterms:W3CDTF">2026-04-24T14:28:28Z</dcterms:modified>
</cp:coreProperties>
</file>